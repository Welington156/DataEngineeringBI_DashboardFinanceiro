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Welington Junio\Desktop\DETALHAMENTO DE TESTE - SAFIRA C&amp;S\"/>
    </mc:Choice>
  </mc:AlternateContent>
  <xr:revisionPtr revIDLastSave="0" documentId="13_ncr:1_{E35DEFD0-F928-4484-A39D-6EA5860C0BCB}" xr6:coauthVersionLast="47" xr6:coauthVersionMax="47" xr10:uidLastSave="{00000000-0000-0000-0000-000000000000}"/>
  <bookViews>
    <workbookView xWindow="-120" yWindow="-120" windowWidth="29040" windowHeight="15720" xr2:uid="{E282E90D-637E-4778-B12F-44A0A331A346}"/>
  </bookViews>
  <sheets>
    <sheet name="Dashboard" sheetId="28" r:id="rId1"/>
    <sheet name="Painel" sheetId="30" r:id="rId2"/>
    <sheet name="BASE" sheetId="1" r:id="rId3"/>
    <sheet name="TabelasDBase" sheetId="16" r:id="rId4"/>
    <sheet name="XML TESTE" sheetId="31" r:id="rId5"/>
    <sheet name="CADASTROS" sheetId="3" r:id="rId6"/>
    <sheet name="BASE (2)" sheetId="23" r:id="rId7"/>
  </sheets>
  <definedNames>
    <definedName name="_xlnm._FilterDatabase" localSheetId="2" hidden="1">BASE!$A$1:$R$501</definedName>
    <definedName name="_xlnm._FilterDatabase" localSheetId="6" hidden="1">'BASE (2)'!$A$1:$R$501</definedName>
    <definedName name="EMISSOR">Painel!$B$32:$B$81</definedName>
    <definedName name="ListaEmissor">Painel!$B$33:$B$81</definedName>
    <definedName name="ListaEmissores">Painel!$B$32:$B$81</definedName>
    <definedName name="ListaNaturezas">Painel!$D$33:$D$34</definedName>
    <definedName name="ListaPagamentos">Painel!$F$33:$F$36</definedName>
    <definedName name="NATUREZA_DA_OPERAÇÃO">Painel!$D$32:$D$34</definedName>
    <definedName name="SegmentaçãodeDados_ANO">#N/A</definedName>
    <definedName name="SegmentaçãodeDados_EMISSOR">#N/A</definedName>
    <definedName name="SegmentaçãodeDados_MÊS">#N/A</definedName>
    <definedName name="SegmentaçãodeDados_N°_NOTA_FISCAL">#N/A</definedName>
    <definedName name="SegmentaçãodeDados_TIPO_DE_PAGAMENTO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0" l="1"/>
  <c r="Q6" i="28"/>
  <c r="E501" i="23"/>
  <c r="D501" i="23"/>
  <c r="E500" i="23"/>
  <c r="D500" i="23"/>
  <c r="E499" i="23"/>
  <c r="D499" i="23"/>
  <c r="E498" i="23"/>
  <c r="D498" i="23"/>
  <c r="E497" i="23"/>
  <c r="D497" i="23"/>
  <c r="E496" i="23"/>
  <c r="D496" i="23"/>
  <c r="E495" i="23"/>
  <c r="D495" i="23"/>
  <c r="E494" i="23"/>
  <c r="D494" i="23"/>
  <c r="E493" i="23"/>
  <c r="D493" i="23"/>
  <c r="E492" i="23"/>
  <c r="D492" i="23"/>
  <c r="E491" i="23"/>
  <c r="D491" i="23"/>
  <c r="E490" i="23"/>
  <c r="D490" i="23"/>
  <c r="E489" i="23"/>
  <c r="D489" i="23"/>
  <c r="E488" i="23"/>
  <c r="D488" i="23"/>
  <c r="E487" i="23"/>
  <c r="D487" i="23"/>
  <c r="E486" i="23"/>
  <c r="D486" i="23"/>
  <c r="E485" i="23"/>
  <c r="D485" i="23"/>
  <c r="E484" i="23"/>
  <c r="D484" i="23"/>
  <c r="E483" i="23"/>
  <c r="D483" i="23"/>
  <c r="E482" i="23"/>
  <c r="D482" i="23"/>
  <c r="E481" i="23"/>
  <c r="D481" i="23"/>
  <c r="E480" i="23"/>
  <c r="D480" i="23"/>
  <c r="E479" i="23"/>
  <c r="D479" i="23"/>
  <c r="E478" i="23"/>
  <c r="D478" i="23"/>
  <c r="E477" i="23"/>
  <c r="D477" i="23"/>
  <c r="E476" i="23"/>
  <c r="D476" i="23"/>
  <c r="E475" i="23"/>
  <c r="D475" i="23"/>
  <c r="E474" i="23"/>
  <c r="D474" i="23"/>
  <c r="E473" i="23"/>
  <c r="D473" i="23"/>
  <c r="E472" i="23"/>
  <c r="D472" i="23"/>
  <c r="E471" i="23"/>
  <c r="D471" i="23"/>
  <c r="E470" i="23"/>
  <c r="D470" i="23"/>
  <c r="E469" i="23"/>
  <c r="D469" i="23"/>
  <c r="E468" i="23"/>
  <c r="D468" i="23"/>
  <c r="E467" i="23"/>
  <c r="D467" i="23"/>
  <c r="E466" i="23"/>
  <c r="D466" i="23"/>
  <c r="E465" i="23"/>
  <c r="D465" i="23"/>
  <c r="E464" i="23"/>
  <c r="D464" i="23"/>
  <c r="E463" i="23"/>
  <c r="D463" i="23"/>
  <c r="E462" i="23"/>
  <c r="D462" i="23"/>
  <c r="E461" i="23"/>
  <c r="D461" i="23"/>
  <c r="E460" i="23"/>
  <c r="D460" i="23"/>
  <c r="E459" i="23"/>
  <c r="D459" i="23"/>
  <c r="E458" i="23"/>
  <c r="D458" i="23"/>
  <c r="E457" i="23"/>
  <c r="D457" i="23"/>
  <c r="E456" i="23"/>
  <c r="D456" i="23"/>
  <c r="E455" i="23"/>
  <c r="D455" i="23"/>
  <c r="E454" i="23"/>
  <c r="D454" i="23"/>
  <c r="E453" i="23"/>
  <c r="D453" i="23"/>
  <c r="E452" i="23"/>
  <c r="D452" i="23"/>
  <c r="E451" i="23"/>
  <c r="D451" i="23"/>
  <c r="E450" i="23"/>
  <c r="D450" i="23"/>
  <c r="E449" i="23"/>
  <c r="D449" i="23"/>
  <c r="E448" i="23"/>
  <c r="D448" i="23"/>
  <c r="E447" i="23"/>
  <c r="D447" i="23"/>
  <c r="E446" i="23"/>
  <c r="D446" i="23"/>
  <c r="E445" i="23"/>
  <c r="D445" i="23"/>
  <c r="E444" i="23"/>
  <c r="D444" i="23"/>
  <c r="E443" i="23"/>
  <c r="D443" i="23"/>
  <c r="E442" i="23"/>
  <c r="D442" i="23"/>
  <c r="E441" i="23"/>
  <c r="D441" i="23"/>
  <c r="E440" i="23"/>
  <c r="D440" i="23"/>
  <c r="E439" i="23"/>
  <c r="D439" i="23"/>
  <c r="E438" i="23"/>
  <c r="D438" i="23"/>
  <c r="E437" i="23"/>
  <c r="D437" i="23"/>
  <c r="E436" i="23"/>
  <c r="D436" i="23"/>
  <c r="E435" i="23"/>
  <c r="D435" i="23"/>
  <c r="E434" i="23"/>
  <c r="D434" i="23"/>
  <c r="E433" i="23"/>
  <c r="D433" i="23"/>
  <c r="E432" i="23"/>
  <c r="D432" i="23"/>
  <c r="E431" i="23"/>
  <c r="D431" i="23"/>
  <c r="E430" i="23"/>
  <c r="D430" i="23"/>
  <c r="E429" i="23"/>
  <c r="D429" i="23"/>
  <c r="E428" i="23"/>
  <c r="D428" i="23"/>
  <c r="E427" i="23"/>
  <c r="D427" i="23"/>
  <c r="E426" i="23"/>
  <c r="D426" i="23"/>
  <c r="E425" i="23"/>
  <c r="D425" i="23"/>
  <c r="E424" i="23"/>
  <c r="D424" i="23"/>
  <c r="E423" i="23"/>
  <c r="D423" i="23"/>
  <c r="E422" i="23"/>
  <c r="D422" i="23"/>
  <c r="E421" i="23"/>
  <c r="D421" i="23"/>
  <c r="E420" i="23"/>
  <c r="D420" i="23"/>
  <c r="E419" i="23"/>
  <c r="D419" i="23"/>
  <c r="E418" i="23"/>
  <c r="D418" i="23"/>
  <c r="E417" i="23"/>
  <c r="D417" i="23"/>
  <c r="E416" i="23"/>
  <c r="D416" i="23"/>
  <c r="E415" i="23"/>
  <c r="D415" i="23"/>
  <c r="E414" i="23"/>
  <c r="D414" i="23"/>
  <c r="E413" i="23"/>
  <c r="D413" i="23"/>
  <c r="E412" i="23"/>
  <c r="D412" i="23"/>
  <c r="E411" i="23"/>
  <c r="D411" i="23"/>
  <c r="E410" i="23"/>
  <c r="D410" i="23"/>
  <c r="E409" i="23"/>
  <c r="D409" i="23"/>
  <c r="E408" i="23"/>
  <c r="D408" i="23"/>
  <c r="E407" i="23"/>
  <c r="D407" i="23"/>
  <c r="E406" i="23"/>
  <c r="D406" i="23"/>
  <c r="E405" i="23"/>
  <c r="D405" i="23"/>
  <c r="E404" i="23"/>
  <c r="D404" i="23"/>
  <c r="E403" i="23"/>
  <c r="D403" i="23"/>
  <c r="E402" i="23"/>
  <c r="D402" i="23"/>
  <c r="E401" i="23"/>
  <c r="D401" i="23"/>
  <c r="E400" i="23"/>
  <c r="D400" i="23"/>
  <c r="E399" i="23"/>
  <c r="D399" i="23"/>
  <c r="E398" i="23"/>
  <c r="D398" i="23"/>
  <c r="E397" i="23"/>
  <c r="D397" i="23"/>
  <c r="E396" i="23"/>
  <c r="D396" i="23"/>
  <c r="E395" i="23"/>
  <c r="D395" i="23"/>
  <c r="E394" i="23"/>
  <c r="D394" i="23"/>
  <c r="E393" i="23"/>
  <c r="D393" i="23"/>
  <c r="E392" i="23"/>
  <c r="D392" i="23"/>
  <c r="E391" i="23"/>
  <c r="D391" i="23"/>
  <c r="E390" i="23"/>
  <c r="D390" i="23"/>
  <c r="E389" i="23"/>
  <c r="D389" i="23"/>
  <c r="E388" i="23"/>
  <c r="D388" i="23"/>
  <c r="E387" i="23"/>
  <c r="D387" i="23"/>
  <c r="E386" i="23"/>
  <c r="D386" i="23"/>
  <c r="E385" i="23"/>
  <c r="D385" i="23"/>
  <c r="E384" i="23"/>
  <c r="D384" i="23"/>
  <c r="E383" i="23"/>
  <c r="D383" i="23"/>
  <c r="E382" i="23"/>
  <c r="D382" i="23"/>
  <c r="E381" i="23"/>
  <c r="D381" i="23"/>
  <c r="E380" i="23"/>
  <c r="D380" i="23"/>
  <c r="E379" i="23"/>
  <c r="D379" i="23"/>
  <c r="E378" i="23"/>
  <c r="D378" i="23"/>
  <c r="E377" i="23"/>
  <c r="D377" i="23"/>
  <c r="E376" i="23"/>
  <c r="D376" i="23"/>
  <c r="E375" i="23"/>
  <c r="D375" i="23"/>
  <c r="E374" i="23"/>
  <c r="D374" i="23"/>
  <c r="E373" i="23"/>
  <c r="D373" i="23"/>
  <c r="E372" i="23"/>
  <c r="D372" i="23"/>
  <c r="E371" i="23"/>
  <c r="D371" i="23"/>
  <c r="E370" i="23"/>
  <c r="D370" i="23"/>
  <c r="E369" i="23"/>
  <c r="D369" i="23"/>
  <c r="E368" i="23"/>
  <c r="D368" i="23"/>
  <c r="E367" i="23"/>
  <c r="D367" i="23"/>
  <c r="E366" i="23"/>
  <c r="D366" i="23"/>
  <c r="E365" i="23"/>
  <c r="D365" i="23"/>
  <c r="E364" i="23"/>
  <c r="D364" i="23"/>
  <c r="E363" i="23"/>
  <c r="D363" i="23"/>
  <c r="E362" i="23"/>
  <c r="D362" i="23"/>
  <c r="E361" i="23"/>
  <c r="D361" i="23"/>
  <c r="E360" i="23"/>
  <c r="D360" i="23"/>
  <c r="E359" i="23"/>
  <c r="D359" i="23"/>
  <c r="E358" i="23"/>
  <c r="D358" i="23"/>
  <c r="E357" i="23"/>
  <c r="D357" i="23"/>
  <c r="E356" i="23"/>
  <c r="D356" i="23"/>
  <c r="E355" i="23"/>
  <c r="D355" i="23"/>
  <c r="E354" i="23"/>
  <c r="D354" i="23"/>
  <c r="E353" i="23"/>
  <c r="D353" i="23"/>
  <c r="E352" i="23"/>
  <c r="D352" i="23"/>
  <c r="E351" i="23"/>
  <c r="D351" i="23"/>
  <c r="E350" i="23"/>
  <c r="D350" i="23"/>
  <c r="E349" i="23"/>
  <c r="D349" i="23"/>
  <c r="E348" i="23"/>
  <c r="D348" i="23"/>
  <c r="E347" i="23"/>
  <c r="D347" i="23"/>
  <c r="E346" i="23"/>
  <c r="D346" i="23"/>
  <c r="E345" i="23"/>
  <c r="D345" i="23"/>
  <c r="E344" i="23"/>
  <c r="D344" i="23"/>
  <c r="E343" i="23"/>
  <c r="D343" i="23"/>
  <c r="E342" i="23"/>
  <c r="D342" i="23"/>
  <c r="E341" i="23"/>
  <c r="D341" i="23"/>
  <c r="E340" i="23"/>
  <c r="D340" i="23"/>
  <c r="E339" i="23"/>
  <c r="D339" i="23"/>
  <c r="E338" i="23"/>
  <c r="D338" i="23"/>
  <c r="E337" i="23"/>
  <c r="D337" i="23"/>
  <c r="E336" i="23"/>
  <c r="D336" i="23"/>
  <c r="E335" i="23"/>
  <c r="D335" i="23"/>
  <c r="E334" i="23"/>
  <c r="D334" i="23"/>
  <c r="E333" i="23"/>
  <c r="D333" i="23"/>
  <c r="E332" i="23"/>
  <c r="D332" i="23"/>
  <c r="E331" i="23"/>
  <c r="D331" i="23"/>
  <c r="E330" i="23"/>
  <c r="D330" i="23"/>
  <c r="E329" i="23"/>
  <c r="D329" i="23"/>
  <c r="E328" i="23"/>
  <c r="D328" i="23"/>
  <c r="E327" i="23"/>
  <c r="D327" i="23"/>
  <c r="E326" i="23"/>
  <c r="D326" i="23"/>
  <c r="E325" i="23"/>
  <c r="D325" i="23"/>
  <c r="E324" i="23"/>
  <c r="D324" i="23"/>
  <c r="E323" i="23"/>
  <c r="D323" i="23"/>
  <c r="E322" i="23"/>
  <c r="D322" i="23"/>
  <c r="E321" i="23"/>
  <c r="D321" i="23"/>
  <c r="E320" i="23"/>
  <c r="D320" i="23"/>
  <c r="E319" i="23"/>
  <c r="D319" i="23"/>
  <c r="E318" i="23"/>
  <c r="D318" i="23"/>
  <c r="E317" i="23"/>
  <c r="D317" i="23"/>
  <c r="E316" i="23"/>
  <c r="D316" i="23"/>
  <c r="E315" i="23"/>
  <c r="D315" i="23"/>
  <c r="E314" i="23"/>
  <c r="D314" i="23"/>
  <c r="E313" i="23"/>
  <c r="D313" i="23"/>
  <c r="E312" i="23"/>
  <c r="D312" i="23"/>
  <c r="E311" i="23"/>
  <c r="D311" i="23"/>
  <c r="E310" i="23"/>
  <c r="D310" i="23"/>
  <c r="E309" i="23"/>
  <c r="D309" i="23"/>
  <c r="E308" i="23"/>
  <c r="D308" i="23"/>
  <c r="E307" i="23"/>
  <c r="D307" i="23"/>
  <c r="E306" i="23"/>
  <c r="D306" i="23"/>
  <c r="E305" i="23"/>
  <c r="D305" i="23"/>
  <c r="E304" i="23"/>
  <c r="D304" i="23"/>
  <c r="E303" i="23"/>
  <c r="D303" i="23"/>
  <c r="E302" i="23"/>
  <c r="D302" i="23"/>
  <c r="E301" i="23"/>
  <c r="D301" i="23"/>
  <c r="E300" i="23"/>
  <c r="D300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E289" i="23"/>
  <c r="D289" i="23"/>
  <c r="E288" i="23"/>
  <c r="D288" i="23"/>
  <c r="E287" i="23"/>
  <c r="D287" i="23"/>
  <c r="E286" i="23"/>
  <c r="D286" i="23"/>
  <c r="E285" i="23"/>
  <c r="D285" i="23"/>
  <c r="E284" i="23"/>
  <c r="D284" i="23"/>
  <c r="E283" i="23"/>
  <c r="D283" i="23"/>
  <c r="E282" i="23"/>
  <c r="D282" i="23"/>
  <c r="E281" i="23"/>
  <c r="D281" i="23"/>
  <c r="E280" i="23"/>
  <c r="D280" i="23"/>
  <c r="E279" i="23"/>
  <c r="D279" i="23"/>
  <c r="E278" i="23"/>
  <c r="D278" i="23"/>
  <c r="E277" i="23"/>
  <c r="D277" i="23"/>
  <c r="E276" i="23"/>
  <c r="D276" i="23"/>
  <c r="E275" i="23"/>
  <c r="D275" i="23"/>
  <c r="E274" i="23"/>
  <c r="D274" i="23"/>
  <c r="E273" i="23"/>
  <c r="D273" i="23"/>
  <c r="E272" i="23"/>
  <c r="D272" i="23"/>
  <c r="E271" i="23"/>
  <c r="D271" i="23"/>
  <c r="E270" i="23"/>
  <c r="D270" i="23"/>
  <c r="E269" i="23"/>
  <c r="D269" i="23"/>
  <c r="E268" i="23"/>
  <c r="D268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E261" i="23"/>
  <c r="D261" i="23"/>
  <c r="E260" i="23"/>
  <c r="D260" i="23"/>
  <c r="E259" i="23"/>
  <c r="D259" i="23"/>
  <c r="E258" i="23"/>
  <c r="D258" i="23"/>
  <c r="E257" i="23"/>
  <c r="D257" i="23"/>
  <c r="E256" i="23"/>
  <c r="D256" i="23"/>
  <c r="E255" i="23"/>
  <c r="D255" i="23"/>
  <c r="E254" i="23"/>
  <c r="D254" i="23"/>
  <c r="E253" i="23"/>
  <c r="D253" i="23"/>
  <c r="E252" i="23"/>
  <c r="D252" i="23"/>
  <c r="E251" i="23"/>
  <c r="D251" i="23"/>
  <c r="E250" i="23"/>
  <c r="D250" i="23"/>
  <c r="E249" i="23"/>
  <c r="D249" i="23"/>
  <c r="E248" i="23"/>
  <c r="D248" i="23"/>
  <c r="E247" i="23"/>
  <c r="D247" i="23"/>
  <c r="E246" i="23"/>
  <c r="D246" i="23"/>
  <c r="E245" i="23"/>
  <c r="D245" i="23"/>
  <c r="E244" i="23"/>
  <c r="D244" i="23"/>
  <c r="E243" i="23"/>
  <c r="D243" i="23"/>
  <c r="E242" i="23"/>
  <c r="D242" i="23"/>
  <c r="E241" i="23"/>
  <c r="D241" i="23"/>
  <c r="E240" i="23"/>
  <c r="D240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E231" i="23"/>
  <c r="D231" i="23"/>
  <c r="E230" i="23"/>
  <c r="D230" i="23"/>
  <c r="E229" i="23"/>
  <c r="D229" i="23"/>
  <c r="E228" i="23"/>
  <c r="D228" i="23"/>
  <c r="E227" i="23"/>
  <c r="D227" i="23"/>
  <c r="E226" i="23"/>
  <c r="D226" i="23"/>
  <c r="E225" i="23"/>
  <c r="D225" i="23"/>
  <c r="E224" i="23"/>
  <c r="D224" i="23"/>
  <c r="E223" i="23"/>
  <c r="D223" i="23"/>
  <c r="E222" i="23"/>
  <c r="D222" i="23"/>
  <c r="E221" i="23"/>
  <c r="D221" i="23"/>
  <c r="E220" i="23"/>
  <c r="D220" i="23"/>
  <c r="E219" i="23"/>
  <c r="D219" i="23"/>
  <c r="E218" i="23"/>
  <c r="D218" i="23"/>
  <c r="E217" i="23"/>
  <c r="D217" i="23"/>
  <c r="E216" i="23"/>
  <c r="D216" i="23"/>
  <c r="E215" i="23"/>
  <c r="D215" i="23"/>
  <c r="E214" i="23"/>
  <c r="D214" i="23"/>
  <c r="E213" i="23"/>
  <c r="D213" i="23"/>
  <c r="E212" i="23"/>
  <c r="D212" i="23"/>
  <c r="E211" i="23"/>
  <c r="D211" i="23"/>
  <c r="E210" i="23"/>
  <c r="D210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E201" i="23"/>
  <c r="D201" i="23"/>
  <c r="E200" i="23"/>
  <c r="D200" i="23"/>
  <c r="E199" i="23"/>
  <c r="D199" i="23"/>
  <c r="E198" i="23"/>
  <c r="D198" i="23"/>
  <c r="E197" i="23"/>
  <c r="D197" i="23"/>
  <c r="E196" i="23"/>
  <c r="D196" i="23"/>
  <c r="E195" i="23"/>
  <c r="D195" i="23"/>
  <c r="E194" i="23"/>
  <c r="D194" i="23"/>
  <c r="E193" i="23"/>
  <c r="D193" i="23"/>
  <c r="E192" i="23"/>
  <c r="D192" i="23"/>
  <c r="E191" i="23"/>
  <c r="D191" i="23"/>
  <c r="E190" i="23"/>
  <c r="D190" i="23"/>
  <c r="E189" i="23"/>
  <c r="D189" i="23"/>
  <c r="E188" i="23"/>
  <c r="D188" i="23"/>
  <c r="E187" i="23"/>
  <c r="D187" i="23"/>
  <c r="E186" i="23"/>
  <c r="D186" i="23"/>
  <c r="E185" i="23"/>
  <c r="D185" i="23"/>
  <c r="E184" i="23"/>
  <c r="D184" i="23"/>
  <c r="E183" i="23"/>
  <c r="D183" i="23"/>
  <c r="E182" i="23"/>
  <c r="D182" i="23"/>
  <c r="E181" i="23"/>
  <c r="D181" i="23"/>
  <c r="E180" i="23"/>
  <c r="D180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E171" i="23"/>
  <c r="D171" i="23"/>
  <c r="E170" i="23"/>
  <c r="D170" i="23"/>
  <c r="E169" i="23"/>
  <c r="D169" i="23"/>
  <c r="E168" i="23"/>
  <c r="D168" i="23"/>
  <c r="E167" i="23"/>
  <c r="D167" i="23"/>
  <c r="E166" i="23"/>
  <c r="D166" i="23"/>
  <c r="E165" i="23"/>
  <c r="D165" i="23"/>
  <c r="E164" i="23"/>
  <c r="D164" i="23"/>
  <c r="E163" i="23"/>
  <c r="D163" i="23"/>
  <c r="E162" i="23"/>
  <c r="D162" i="23"/>
  <c r="E161" i="23"/>
  <c r="D161" i="23"/>
  <c r="E160" i="23"/>
  <c r="D160" i="23"/>
  <c r="E159" i="23"/>
  <c r="D159" i="23"/>
  <c r="E158" i="23"/>
  <c r="D158" i="23"/>
  <c r="E157" i="23"/>
  <c r="D157" i="23"/>
  <c r="E156" i="23"/>
  <c r="D156" i="23"/>
  <c r="E155" i="23"/>
  <c r="D155" i="23"/>
  <c r="E154" i="23"/>
  <c r="D154" i="23"/>
  <c r="E153" i="23"/>
  <c r="D153" i="23"/>
  <c r="E152" i="23"/>
  <c r="D152" i="23"/>
  <c r="E151" i="23"/>
  <c r="D151" i="23"/>
  <c r="E150" i="23"/>
  <c r="D150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E141" i="23"/>
  <c r="D141" i="23"/>
  <c r="E140" i="23"/>
  <c r="D140" i="23"/>
  <c r="E139" i="23"/>
  <c r="D139" i="23"/>
  <c r="E138" i="23"/>
  <c r="D138" i="23"/>
  <c r="E137" i="23"/>
  <c r="D137" i="23"/>
  <c r="E136" i="23"/>
  <c r="D136" i="23"/>
  <c r="E135" i="23"/>
  <c r="D135" i="23"/>
  <c r="E134" i="23"/>
  <c r="D134" i="23"/>
  <c r="E133" i="23"/>
  <c r="D133" i="23"/>
  <c r="E132" i="23"/>
  <c r="D132" i="23"/>
  <c r="E131" i="23"/>
  <c r="D131" i="23"/>
  <c r="E130" i="23"/>
  <c r="D130" i="23"/>
  <c r="E129" i="23"/>
  <c r="D129" i="23"/>
  <c r="E128" i="23"/>
  <c r="D128" i="23"/>
  <c r="E127" i="23"/>
  <c r="D127" i="23"/>
  <c r="E126" i="23"/>
  <c r="D126" i="23"/>
  <c r="E125" i="23"/>
  <c r="D125" i="23"/>
  <c r="E124" i="23"/>
  <c r="D124" i="23"/>
  <c r="E123" i="23"/>
  <c r="D123" i="23"/>
  <c r="E122" i="23"/>
  <c r="D122" i="23"/>
  <c r="E121" i="23"/>
  <c r="D121" i="23"/>
  <c r="E120" i="23"/>
  <c r="D120" i="23"/>
  <c r="E119" i="23"/>
  <c r="D119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E111" i="23"/>
  <c r="D111" i="23"/>
  <c r="E110" i="23"/>
  <c r="D110" i="23"/>
  <c r="E109" i="23"/>
  <c r="D109" i="23"/>
  <c r="E108" i="23"/>
  <c r="D108" i="23"/>
  <c r="E107" i="23"/>
  <c r="D107" i="23"/>
  <c r="E106" i="23"/>
  <c r="D106" i="23"/>
  <c r="E105" i="23"/>
  <c r="D105" i="23"/>
  <c r="E104" i="23"/>
  <c r="D104" i="23"/>
  <c r="E103" i="23"/>
  <c r="D103" i="23"/>
  <c r="E102" i="23"/>
  <c r="D102" i="23"/>
  <c r="E101" i="23"/>
  <c r="D101" i="23"/>
  <c r="E100" i="23"/>
  <c r="D100" i="23"/>
  <c r="E99" i="23"/>
  <c r="D99" i="23"/>
  <c r="E98" i="23"/>
  <c r="D98" i="23"/>
  <c r="E97" i="23"/>
  <c r="D97" i="23"/>
  <c r="E96" i="23"/>
  <c r="D96" i="23"/>
  <c r="E95" i="23"/>
  <c r="D95" i="23"/>
  <c r="E94" i="23"/>
  <c r="D94" i="23"/>
  <c r="E93" i="23"/>
  <c r="D93" i="23"/>
  <c r="E92" i="23"/>
  <c r="D92" i="23"/>
  <c r="E91" i="23"/>
  <c r="D91" i="23"/>
  <c r="E90" i="23"/>
  <c r="D90" i="23"/>
  <c r="E89" i="23"/>
  <c r="D89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E70" i="23"/>
  <c r="D70" i="23"/>
  <c r="E69" i="23"/>
  <c r="D69" i="23"/>
  <c r="E68" i="23"/>
  <c r="D68" i="23"/>
  <c r="E67" i="23"/>
  <c r="D67" i="23"/>
  <c r="E66" i="23"/>
  <c r="D66" i="23"/>
  <c r="E65" i="23"/>
  <c r="D65" i="23"/>
  <c r="E64" i="23"/>
  <c r="D64" i="23"/>
  <c r="E63" i="23"/>
  <c r="D63" i="23"/>
  <c r="E62" i="23"/>
  <c r="D62" i="23"/>
  <c r="E61" i="23"/>
  <c r="D61" i="23"/>
  <c r="E60" i="23"/>
  <c r="D60" i="23"/>
  <c r="E59" i="23"/>
  <c r="D59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E50" i="23"/>
  <c r="D50" i="23"/>
  <c r="E49" i="23"/>
  <c r="D49" i="23"/>
  <c r="E48" i="23"/>
  <c r="D48" i="23"/>
  <c r="E47" i="23"/>
  <c r="D47" i="23"/>
  <c r="E46" i="23"/>
  <c r="D46" i="23"/>
  <c r="E45" i="23"/>
  <c r="D45" i="23"/>
  <c r="E44" i="23"/>
  <c r="D44" i="23"/>
  <c r="E43" i="23"/>
  <c r="D43" i="23"/>
  <c r="E42" i="23"/>
  <c r="D42" i="23"/>
  <c r="E41" i="23"/>
  <c r="D41" i="23"/>
  <c r="E40" i="23"/>
  <c r="D40" i="23"/>
  <c r="E39" i="23"/>
  <c r="D39" i="23"/>
  <c r="E38" i="23"/>
  <c r="D38" i="23"/>
  <c r="E37" i="23"/>
  <c r="D37" i="23"/>
  <c r="E36" i="23"/>
  <c r="D36" i="23"/>
  <c r="E35" i="23"/>
  <c r="D35" i="23"/>
  <c r="E34" i="23"/>
  <c r="D34" i="23"/>
  <c r="E33" i="23"/>
  <c r="D33" i="23"/>
  <c r="E32" i="23"/>
  <c r="D32" i="23"/>
  <c r="E31" i="23"/>
  <c r="D31" i="23"/>
  <c r="E30" i="23"/>
  <c r="D30" i="23"/>
  <c r="E29" i="23"/>
  <c r="D29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1" i="23"/>
  <c r="D11" i="23"/>
  <c r="E10" i="23"/>
  <c r="D10" i="23"/>
  <c r="E9" i="23"/>
  <c r="D9" i="23"/>
  <c r="E8" i="23"/>
  <c r="D8" i="23"/>
  <c r="E7" i="23"/>
  <c r="D7" i="23"/>
  <c r="E6" i="23"/>
  <c r="D6" i="23"/>
  <c r="E5" i="23"/>
  <c r="D5" i="23"/>
  <c r="E4" i="23"/>
  <c r="D4" i="23"/>
  <c r="E3" i="23"/>
  <c r="D3" i="23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</calcChain>
</file>

<file path=xl/sharedStrings.xml><?xml version="1.0" encoding="utf-8"?>
<sst xmlns="http://schemas.openxmlformats.org/spreadsheetml/2006/main" count="6143" uniqueCount="647">
  <si>
    <t>EMISSOR</t>
  </si>
  <si>
    <t>DATA DE EMISSÃO</t>
  </si>
  <si>
    <t>NATUREZA DA OPERAÇÃO</t>
  </si>
  <si>
    <t>R$ TOTAL</t>
  </si>
  <si>
    <t>1ª Parcela</t>
  </si>
  <si>
    <t>R$ 1ª Parcela</t>
  </si>
  <si>
    <t>2ª Parcela</t>
  </si>
  <si>
    <t>R$ 2ª Parcela</t>
  </si>
  <si>
    <t>3ª Parcela</t>
  </si>
  <si>
    <t>R$ 3ª Parcela</t>
  </si>
  <si>
    <t>4ª Parcela</t>
  </si>
  <si>
    <t>R$ 4ª Parcela</t>
  </si>
  <si>
    <t>QuantumWave Industries</t>
  </si>
  <si>
    <t>OmniGlobe Enterprises</t>
  </si>
  <si>
    <t>StellarFusion Corp.</t>
  </si>
  <si>
    <t>ApexNexus Innovations</t>
  </si>
  <si>
    <t>TerraVista Holdings</t>
  </si>
  <si>
    <t>VortexDynamics Inc.</t>
  </si>
  <si>
    <t>FusionPeak Technologies</t>
  </si>
  <si>
    <t>HorizonEcho Group</t>
  </si>
  <si>
    <t>SilverStone Ventures</t>
  </si>
  <si>
    <t>LuminaCore Systems</t>
  </si>
  <si>
    <t>InfinityPulse LLC</t>
  </si>
  <si>
    <t>BlueWave Networks</t>
  </si>
  <si>
    <t>RadiantSky Labs</t>
  </si>
  <si>
    <t>TitanEdge Enterprises</t>
  </si>
  <si>
    <t>VertexSolar Power</t>
  </si>
  <si>
    <t>CrimsonCrest Dynamics</t>
  </si>
  <si>
    <t>ZenithStream Technologies</t>
  </si>
  <si>
    <t>AeroMatrix Solutions</t>
  </si>
  <si>
    <t>NovaSphere Industries</t>
  </si>
  <si>
    <t>BrightLeaf Innovations</t>
  </si>
  <si>
    <t>CyberLink Corporation</t>
  </si>
  <si>
    <t>QuantumPulse LLC</t>
  </si>
  <si>
    <t>ElevateX Solutions</t>
  </si>
  <si>
    <t>TerraFusion Industries</t>
  </si>
  <si>
    <t>ApexSphere Enterprises</t>
  </si>
  <si>
    <t>StellarWave Technologies</t>
  </si>
  <si>
    <t>FusionEdge Systems</t>
  </si>
  <si>
    <t>VortexPeak Dynamics</t>
  </si>
  <si>
    <t>HorizonNexus Corp.</t>
  </si>
  <si>
    <t>RadiantVista Holdings</t>
  </si>
  <si>
    <t>LuminaWave Innovations</t>
  </si>
  <si>
    <t>SilverPulse Ventures</t>
  </si>
  <si>
    <t>BlueStone Networks</t>
  </si>
  <si>
    <t>OmniCore Systems</t>
  </si>
  <si>
    <t>InfinitySky Labs</t>
  </si>
  <si>
    <t>TitanFusion Power</t>
  </si>
  <si>
    <t>CrimsonEdge Dynamics</t>
  </si>
  <si>
    <t>ZenTech Solutions</t>
  </si>
  <si>
    <t>AeroVista Holdings</t>
  </si>
  <si>
    <t>QuantumStream Corp.</t>
  </si>
  <si>
    <t>TerraPeak Enterprises</t>
  </si>
  <si>
    <t>BrightWave Technologies</t>
  </si>
  <si>
    <t>CyberSphere Innovations</t>
  </si>
  <si>
    <t>QuantumEcho Labs</t>
  </si>
  <si>
    <t>ElevatePulse LLC</t>
  </si>
  <si>
    <t>StellarCore Systems</t>
  </si>
  <si>
    <t>FusionVista Ventures</t>
  </si>
  <si>
    <t>VortexLeaf Dynamics</t>
  </si>
  <si>
    <t>HorizonTech Solutions</t>
  </si>
  <si>
    <t>01.234.567/0001-89</t>
  </si>
  <si>
    <t>12.345.678/0001-56</t>
  </si>
  <si>
    <t>23.456.789/0001-23</t>
  </si>
  <si>
    <t>34.567.890/0001-90</t>
  </si>
  <si>
    <t>45.678.901/0001-67</t>
  </si>
  <si>
    <t>56.789.012/0001-34</t>
  </si>
  <si>
    <t>67.890.123/0001-01</t>
  </si>
  <si>
    <t>78.901.234/0001-78</t>
  </si>
  <si>
    <t>89.012.345/0001-45</t>
  </si>
  <si>
    <t>90.123.456/0001-12</t>
  </si>
  <si>
    <t>11.234.567/0001-89</t>
  </si>
  <si>
    <t>22.345.678/0001-56</t>
  </si>
  <si>
    <t>33.456.789/0001-23</t>
  </si>
  <si>
    <t>44.567.890/0001-90</t>
  </si>
  <si>
    <t>55.678.901/0001-67</t>
  </si>
  <si>
    <t>66.789.012/0001-34</t>
  </si>
  <si>
    <t>77.890.123/0001-01</t>
  </si>
  <si>
    <t>88.901.234/0001-78</t>
  </si>
  <si>
    <t>99.012.345/0001-45</t>
  </si>
  <si>
    <t>10.123.456/0001-12</t>
  </si>
  <si>
    <t>21.234.567/0001-89</t>
  </si>
  <si>
    <t>32.345.678/0001-56</t>
  </si>
  <si>
    <t>43.456.789/0001-23</t>
  </si>
  <si>
    <t>54.567.890/0001-90</t>
  </si>
  <si>
    <t>65.678.901/0001-67</t>
  </si>
  <si>
    <t>76.789.012/0001-34</t>
  </si>
  <si>
    <t>87.890.123/0001-01</t>
  </si>
  <si>
    <t>98.901.234/0001-78</t>
  </si>
  <si>
    <t>09.012.345/0001-45</t>
  </si>
  <si>
    <t>20.123.456/0001-12</t>
  </si>
  <si>
    <t>31.234.567/0001-89</t>
  </si>
  <si>
    <t>42.345.678/0001-56</t>
  </si>
  <si>
    <t>53.456.789/0001-23</t>
  </si>
  <si>
    <t>64.567.890/0001-90</t>
  </si>
  <si>
    <t>75.678.901/0001-67</t>
  </si>
  <si>
    <t>86.789.012/0001-34</t>
  </si>
  <si>
    <t>97.890.123/0001-01</t>
  </si>
  <si>
    <t>08.901.234/0001-78</t>
  </si>
  <si>
    <t>19.012.345/0001-45</t>
  </si>
  <si>
    <t>30.123.456/0001-12</t>
  </si>
  <si>
    <t>41.234.567/0001-89</t>
  </si>
  <si>
    <t>52.345.678/0001-56</t>
  </si>
  <si>
    <t>63.456.789/0001-23</t>
  </si>
  <si>
    <t>74.567.890/0001-90</t>
  </si>
  <si>
    <t>85.678.901/0001-67</t>
  </si>
  <si>
    <t>96.789.012/0001-34</t>
  </si>
  <si>
    <t>07.890.123/0001-01</t>
  </si>
  <si>
    <t>18.901.234/0001-78</t>
  </si>
  <si>
    <t>29.012.345/0001-45</t>
  </si>
  <si>
    <t>Saída</t>
  </si>
  <si>
    <t>Entrada</t>
  </si>
  <si>
    <t>Estornos</t>
  </si>
  <si>
    <t>Pagamentos ADMs</t>
  </si>
  <si>
    <t>Impostos</t>
  </si>
  <si>
    <t>TIPO DE PAGAMENTO</t>
  </si>
  <si>
    <t>CENTRO DE CUSTO</t>
  </si>
  <si>
    <t>MATERIAL A</t>
  </si>
  <si>
    <t>MATERIAL B</t>
  </si>
  <si>
    <t>MATERIAL C</t>
  </si>
  <si>
    <t>MATERIAL E</t>
  </si>
  <si>
    <t>MATERIAL D</t>
  </si>
  <si>
    <t>EXTRAVIADO</t>
  </si>
  <si>
    <t>ENVIO INCORRETO</t>
  </si>
  <si>
    <t>Consultoria</t>
  </si>
  <si>
    <t>Factoring Fee</t>
  </si>
  <si>
    <t>A VISTA</t>
  </si>
  <si>
    <t>PRIMEIRO PAG</t>
  </si>
  <si>
    <t>SEG PAG</t>
  </si>
  <si>
    <t>TER PAG</t>
  </si>
  <si>
    <t>QUAR PAG</t>
  </si>
  <si>
    <t>N° NOTA FISCAL</t>
  </si>
  <si>
    <t>1 + 2</t>
  </si>
  <si>
    <t>1 + 1</t>
  </si>
  <si>
    <t>1 + 3</t>
  </si>
  <si>
    <t>FORMAS DE PAGAMENTO</t>
  </si>
  <si>
    <t>1+3</t>
  </si>
  <si>
    <t>1+2</t>
  </si>
  <si>
    <t>1+1</t>
  </si>
  <si>
    <t>CNPJ</t>
  </si>
  <si>
    <t>44101109</t>
  </si>
  <si>
    <t>9214109</t>
  </si>
  <si>
    <t>27133159</t>
  </si>
  <si>
    <t>670197</t>
  </si>
  <si>
    <t>76149193</t>
  </si>
  <si>
    <t>3913638</t>
  </si>
  <si>
    <t>97107228</t>
  </si>
  <si>
    <t>6410648</t>
  </si>
  <si>
    <t>7654233</t>
  </si>
  <si>
    <t>1414734</t>
  </si>
  <si>
    <t>648161</t>
  </si>
  <si>
    <t>2213748</t>
  </si>
  <si>
    <t>1023235</t>
  </si>
  <si>
    <t>676859</t>
  </si>
  <si>
    <t>3312978</t>
  </si>
  <si>
    <t>644941</t>
  </si>
  <si>
    <t>95143197</t>
  </si>
  <si>
    <t>10081180</t>
  </si>
  <si>
    <t>63193</t>
  </si>
  <si>
    <t>3841113</t>
  </si>
  <si>
    <t>27119245</t>
  </si>
  <si>
    <t>4866227</t>
  </si>
  <si>
    <t>5212318</t>
  </si>
  <si>
    <t>471166</t>
  </si>
  <si>
    <t>3122158</t>
  </si>
  <si>
    <t>6936233</t>
  </si>
  <si>
    <t>6555138</t>
  </si>
  <si>
    <t>914118</t>
  </si>
  <si>
    <t>6610263</t>
  </si>
  <si>
    <t>535828</t>
  </si>
  <si>
    <t>422865</t>
  </si>
  <si>
    <t>94130169</t>
  </si>
  <si>
    <t>2710416</t>
  </si>
  <si>
    <t>151262</t>
  </si>
  <si>
    <t>3710348</t>
  </si>
  <si>
    <t>171063</t>
  </si>
  <si>
    <t>95102140</t>
  </si>
  <si>
    <t>7121249</t>
  </si>
  <si>
    <t>8276221</t>
  </si>
  <si>
    <t>8741236</t>
  </si>
  <si>
    <t>10028157</t>
  </si>
  <si>
    <t>68123137</t>
  </si>
  <si>
    <t>152129</t>
  </si>
  <si>
    <t>15114171</t>
  </si>
  <si>
    <t>6544183</t>
  </si>
  <si>
    <t>8679126</t>
  </si>
  <si>
    <t>1113916</t>
  </si>
  <si>
    <t>37122235</t>
  </si>
  <si>
    <t>77644</t>
  </si>
  <si>
    <t>8217192</t>
  </si>
  <si>
    <t>117291</t>
  </si>
  <si>
    <t>52463</t>
  </si>
  <si>
    <t>123108</t>
  </si>
  <si>
    <t>754310</t>
  </si>
  <si>
    <t>7791167</t>
  </si>
  <si>
    <t>607644</t>
  </si>
  <si>
    <t>79105139</t>
  </si>
  <si>
    <t>1839177</t>
  </si>
  <si>
    <t>1591129</t>
  </si>
  <si>
    <t>4733141</t>
  </si>
  <si>
    <t>354578</t>
  </si>
  <si>
    <t>60132167</t>
  </si>
  <si>
    <t>9111424</t>
  </si>
  <si>
    <t>8510552</t>
  </si>
  <si>
    <t>7346196</t>
  </si>
  <si>
    <t>4068245</t>
  </si>
  <si>
    <t>322103</t>
  </si>
  <si>
    <t>4512027</t>
  </si>
  <si>
    <t>2497189</t>
  </si>
  <si>
    <t>939197</t>
  </si>
  <si>
    <t>8911711</t>
  </si>
  <si>
    <t>313851</t>
  </si>
  <si>
    <t>497243</t>
  </si>
  <si>
    <t>532165</t>
  </si>
  <si>
    <t>1759131</t>
  </si>
  <si>
    <t>35111149</t>
  </si>
  <si>
    <t>2028238</t>
  </si>
  <si>
    <t>8746206</t>
  </si>
  <si>
    <t>201011</t>
  </si>
  <si>
    <t>74104229</t>
  </si>
  <si>
    <t>39146219</t>
  </si>
  <si>
    <t>2186128</t>
  </si>
  <si>
    <t>468060</t>
  </si>
  <si>
    <t>1910926</t>
  </si>
  <si>
    <t>1959104</t>
  </si>
  <si>
    <t>3877150</t>
  </si>
  <si>
    <t>6641123</t>
  </si>
  <si>
    <t>315539</t>
  </si>
  <si>
    <t>9131147</t>
  </si>
  <si>
    <t>7434236</t>
  </si>
  <si>
    <t>3842155</t>
  </si>
  <si>
    <t>33136192</t>
  </si>
  <si>
    <t>1310947</t>
  </si>
  <si>
    <t>6436221</t>
  </si>
  <si>
    <t>8517139</t>
  </si>
  <si>
    <t>6977148</t>
  </si>
  <si>
    <t>8559110</t>
  </si>
  <si>
    <t>83149247</t>
  </si>
  <si>
    <t>95138144</t>
  </si>
  <si>
    <t>9092126</t>
  </si>
  <si>
    <t>6849113</t>
  </si>
  <si>
    <t>16489</t>
  </si>
  <si>
    <t>8213553</t>
  </si>
  <si>
    <t>67538</t>
  </si>
  <si>
    <t>1918114</t>
  </si>
  <si>
    <t>7697221</t>
  </si>
  <si>
    <t>1179228</t>
  </si>
  <si>
    <t>286133</t>
  </si>
  <si>
    <t>8652244</t>
  </si>
  <si>
    <t>5781198</t>
  </si>
  <si>
    <t>645775</t>
  </si>
  <si>
    <t>7842125</t>
  </si>
  <si>
    <t>2519139</t>
  </si>
  <si>
    <t>2913460</t>
  </si>
  <si>
    <t>186221</t>
  </si>
  <si>
    <t>9114220</t>
  </si>
  <si>
    <t>7946185</t>
  </si>
  <si>
    <t>644186</t>
  </si>
  <si>
    <t>185791</t>
  </si>
  <si>
    <t>32283</t>
  </si>
  <si>
    <t>171413</t>
  </si>
  <si>
    <t>9488162</t>
  </si>
  <si>
    <t>43112157</t>
  </si>
  <si>
    <t>5034129</t>
  </si>
  <si>
    <t>1121121</t>
  </si>
  <si>
    <t>8147182</t>
  </si>
  <si>
    <t>2113917</t>
  </si>
  <si>
    <t>9170233</t>
  </si>
  <si>
    <t>982798</t>
  </si>
  <si>
    <t>88147120</t>
  </si>
  <si>
    <t>6754168</t>
  </si>
  <si>
    <t>97121196</t>
  </si>
  <si>
    <t>91788</t>
  </si>
  <si>
    <t>9822152</t>
  </si>
  <si>
    <t>132220</t>
  </si>
  <si>
    <t>8588203</t>
  </si>
  <si>
    <t>5538165</t>
  </si>
  <si>
    <t>7825163</t>
  </si>
  <si>
    <t>69105126</t>
  </si>
  <si>
    <t>7497194</t>
  </si>
  <si>
    <t>61577</t>
  </si>
  <si>
    <t>4698238</t>
  </si>
  <si>
    <t>3066161</t>
  </si>
  <si>
    <t>713027</t>
  </si>
  <si>
    <t>18191</t>
  </si>
  <si>
    <t>93136207</t>
  </si>
  <si>
    <t>1667195</t>
  </si>
  <si>
    <t>226152</t>
  </si>
  <si>
    <t>6913013</t>
  </si>
  <si>
    <t>20120141</t>
  </si>
  <si>
    <t>564130</t>
  </si>
  <si>
    <t>106912</t>
  </si>
  <si>
    <t>3665246</t>
  </si>
  <si>
    <t>2258154</t>
  </si>
  <si>
    <t>2838139</t>
  </si>
  <si>
    <t>7286108</t>
  </si>
  <si>
    <t>19140231</t>
  </si>
  <si>
    <t>1001062</t>
  </si>
  <si>
    <t>894220</t>
  </si>
  <si>
    <t>5829196</t>
  </si>
  <si>
    <t>753074</t>
  </si>
  <si>
    <t>3639128</t>
  </si>
  <si>
    <t>542101</t>
  </si>
  <si>
    <t>778514</t>
  </si>
  <si>
    <t>2750196</t>
  </si>
  <si>
    <t>8440216</t>
  </si>
  <si>
    <t>15146178</t>
  </si>
  <si>
    <t>10063112</t>
  </si>
  <si>
    <t>51103250</t>
  </si>
  <si>
    <t>588161</t>
  </si>
  <si>
    <t>7913746</t>
  </si>
  <si>
    <t>91110230</t>
  </si>
  <si>
    <t>934218</t>
  </si>
  <si>
    <t>66137145</t>
  </si>
  <si>
    <t>57823</t>
  </si>
  <si>
    <t>3411048</t>
  </si>
  <si>
    <t>94109121</t>
  </si>
  <si>
    <t>3850241</t>
  </si>
  <si>
    <t>5580188</t>
  </si>
  <si>
    <t>8964247</t>
  </si>
  <si>
    <t>629594</t>
  </si>
  <si>
    <t>3210360</t>
  </si>
  <si>
    <t>2170202</t>
  </si>
  <si>
    <t>644718</t>
  </si>
  <si>
    <t>787119</t>
  </si>
  <si>
    <t>5211210</t>
  </si>
  <si>
    <t>4410640</t>
  </si>
  <si>
    <t>39132213</t>
  </si>
  <si>
    <t>952518</t>
  </si>
  <si>
    <t>818660</t>
  </si>
  <si>
    <t>710534</t>
  </si>
  <si>
    <t>8778179</t>
  </si>
  <si>
    <t>1247246</t>
  </si>
  <si>
    <t>73111110</t>
  </si>
  <si>
    <t>957959</t>
  </si>
  <si>
    <t>193890</t>
  </si>
  <si>
    <t>9875163</t>
  </si>
  <si>
    <t>48148206</t>
  </si>
  <si>
    <t>5396100</t>
  </si>
  <si>
    <t>3362247</t>
  </si>
  <si>
    <t>15125100</t>
  </si>
  <si>
    <t>3113123</t>
  </si>
  <si>
    <t>9043102</t>
  </si>
  <si>
    <t>138511</t>
  </si>
  <si>
    <t>8501</t>
  </si>
  <si>
    <t>35146245</t>
  </si>
  <si>
    <t>7397189</t>
  </si>
  <si>
    <t>253743</t>
  </si>
  <si>
    <t>7345174</t>
  </si>
  <si>
    <t>797357</t>
  </si>
  <si>
    <t>256010</t>
  </si>
  <si>
    <t>5558215</t>
  </si>
  <si>
    <t>2465227</t>
  </si>
  <si>
    <t>33133224</t>
  </si>
  <si>
    <t>74110</t>
  </si>
  <si>
    <t>7850245</t>
  </si>
  <si>
    <t>1859110</t>
  </si>
  <si>
    <t>1778233</t>
  </si>
  <si>
    <t>25140249</t>
  </si>
  <si>
    <t>6021225</t>
  </si>
  <si>
    <t>1814479</t>
  </si>
  <si>
    <t>6712518</t>
  </si>
  <si>
    <t>52767</t>
  </si>
  <si>
    <t>6109247</t>
  </si>
  <si>
    <t>743206</t>
  </si>
  <si>
    <t>1672150</t>
  </si>
  <si>
    <t>2412331</t>
  </si>
  <si>
    <t>13144219</t>
  </si>
  <si>
    <t>5711428</t>
  </si>
  <si>
    <t>726943</t>
  </si>
  <si>
    <t>5350202</t>
  </si>
  <si>
    <t>1864118</t>
  </si>
  <si>
    <t>232162</t>
  </si>
  <si>
    <t>1114574</t>
  </si>
  <si>
    <t>4143216</t>
  </si>
  <si>
    <t>4110676</t>
  </si>
  <si>
    <t>2128125</t>
  </si>
  <si>
    <t>40149178</t>
  </si>
  <si>
    <t>3712757</t>
  </si>
  <si>
    <t>7103160</t>
  </si>
  <si>
    <t>297967</t>
  </si>
  <si>
    <t>30102206</t>
  </si>
  <si>
    <t>2490245</t>
  </si>
  <si>
    <t>121323</t>
  </si>
  <si>
    <t>346752</t>
  </si>
  <si>
    <t>413053</t>
  </si>
  <si>
    <t>318786</t>
  </si>
  <si>
    <t>197522</t>
  </si>
  <si>
    <t>20111207</t>
  </si>
  <si>
    <t>5511239</t>
  </si>
  <si>
    <t>583817</t>
  </si>
  <si>
    <t>366553</t>
  </si>
  <si>
    <t>769526</t>
  </si>
  <si>
    <t>972539</t>
  </si>
  <si>
    <t>8451156</t>
  </si>
  <si>
    <t>4738199</t>
  </si>
  <si>
    <t>3011765</t>
  </si>
  <si>
    <t>803266</t>
  </si>
  <si>
    <t>5512918</t>
  </si>
  <si>
    <t>818167</t>
  </si>
  <si>
    <t>82107185</t>
  </si>
  <si>
    <t>783100</t>
  </si>
  <si>
    <t>7828186</t>
  </si>
  <si>
    <t>764295</t>
  </si>
  <si>
    <t>26120222</t>
  </si>
  <si>
    <t>38144173</t>
  </si>
  <si>
    <t>2011895</t>
  </si>
  <si>
    <t>54137150</t>
  </si>
  <si>
    <t>5110046</t>
  </si>
  <si>
    <t>24131149</t>
  </si>
  <si>
    <t>16121146</t>
  </si>
  <si>
    <t>28519</t>
  </si>
  <si>
    <t>6178158</t>
  </si>
  <si>
    <t>379725</t>
  </si>
  <si>
    <t>7176110</t>
  </si>
  <si>
    <t>32126101</t>
  </si>
  <si>
    <t>2843217</t>
  </si>
  <si>
    <t>3412106</t>
  </si>
  <si>
    <t>332566</t>
  </si>
  <si>
    <t>52145124</t>
  </si>
  <si>
    <t>402273</t>
  </si>
  <si>
    <t>459414</t>
  </si>
  <si>
    <t>8530209</t>
  </si>
  <si>
    <t>8351175</t>
  </si>
  <si>
    <t>302522</t>
  </si>
  <si>
    <t>9913520</t>
  </si>
  <si>
    <t>1212910</t>
  </si>
  <si>
    <t>806206</t>
  </si>
  <si>
    <t>8710160</t>
  </si>
  <si>
    <t>22146121</t>
  </si>
  <si>
    <t>245343</t>
  </si>
  <si>
    <t>2654155</t>
  </si>
  <si>
    <t>82134241</t>
  </si>
  <si>
    <t>924128</t>
  </si>
  <si>
    <t>746861</t>
  </si>
  <si>
    <t>96106186</t>
  </si>
  <si>
    <t>3080193</t>
  </si>
  <si>
    <t>5312116</t>
  </si>
  <si>
    <t>6463139</t>
  </si>
  <si>
    <t>12146234</t>
  </si>
  <si>
    <t>758694</t>
  </si>
  <si>
    <t>4128136</t>
  </si>
  <si>
    <t>351440</t>
  </si>
  <si>
    <t>419914</t>
  </si>
  <si>
    <t>893021</t>
  </si>
  <si>
    <t>325596</t>
  </si>
  <si>
    <t>6076244</t>
  </si>
  <si>
    <t>61137172</t>
  </si>
  <si>
    <t>2769183</t>
  </si>
  <si>
    <t>6211014</t>
  </si>
  <si>
    <t>7747226</t>
  </si>
  <si>
    <t>252366</t>
  </si>
  <si>
    <t>2568243</t>
  </si>
  <si>
    <t>4067108</t>
  </si>
  <si>
    <t>20148198</t>
  </si>
  <si>
    <t>96114182</t>
  </si>
  <si>
    <t>8532115</t>
  </si>
  <si>
    <t>144843</t>
  </si>
  <si>
    <t>5255136</t>
  </si>
  <si>
    <t>51123105</t>
  </si>
  <si>
    <t>6011474</t>
  </si>
  <si>
    <t>32134162</t>
  </si>
  <si>
    <t>2254171</t>
  </si>
  <si>
    <t>939187</t>
  </si>
  <si>
    <t>4093131</t>
  </si>
  <si>
    <t>913332</t>
  </si>
  <si>
    <t>2212229</t>
  </si>
  <si>
    <t>12135177</t>
  </si>
  <si>
    <t>511227</t>
  </si>
  <si>
    <t>88125144</t>
  </si>
  <si>
    <t>545512</t>
  </si>
  <si>
    <t>7310572</t>
  </si>
  <si>
    <t>2179119</t>
  </si>
  <si>
    <t>8228195</t>
  </si>
  <si>
    <t>7846137</t>
  </si>
  <si>
    <t>958682</t>
  </si>
  <si>
    <t>2611058</t>
  </si>
  <si>
    <t>1363182</t>
  </si>
  <si>
    <t>8713131</t>
  </si>
  <si>
    <t>368093</t>
  </si>
  <si>
    <t>80120226</t>
  </si>
  <si>
    <t>98571</t>
  </si>
  <si>
    <t>601372</t>
  </si>
  <si>
    <t>1107132</t>
  </si>
  <si>
    <t>337214</t>
  </si>
  <si>
    <t>651469</t>
  </si>
  <si>
    <t>1710191</t>
  </si>
  <si>
    <t>29113155</t>
  </si>
  <si>
    <t>21491</t>
  </si>
  <si>
    <t>171669</t>
  </si>
  <si>
    <t>30116195</t>
  </si>
  <si>
    <t>78482</t>
  </si>
  <si>
    <t>4620138</t>
  </si>
  <si>
    <t>6938108</t>
  </si>
  <si>
    <t>811941</t>
  </si>
  <si>
    <t>951374</t>
  </si>
  <si>
    <t>76138137</t>
  </si>
  <si>
    <t>644256</t>
  </si>
  <si>
    <t>1383104</t>
  </si>
  <si>
    <t>6151225</t>
  </si>
  <si>
    <t>37125213</t>
  </si>
  <si>
    <t>64120219</t>
  </si>
  <si>
    <t>9010100</t>
  </si>
  <si>
    <t>9674130</t>
  </si>
  <si>
    <t>66176</t>
  </si>
  <si>
    <t>423255</t>
  </si>
  <si>
    <t>8166192</t>
  </si>
  <si>
    <t>33146185</t>
  </si>
  <si>
    <t>308109</t>
  </si>
  <si>
    <t>174957</t>
  </si>
  <si>
    <t>1611479</t>
  </si>
  <si>
    <t>37146159</t>
  </si>
  <si>
    <t>42111201</t>
  </si>
  <si>
    <t>31144110</t>
  </si>
  <si>
    <t>4882105</t>
  </si>
  <si>
    <t>76122</t>
  </si>
  <si>
    <t>88127225</t>
  </si>
  <si>
    <t>51125189</t>
  </si>
  <si>
    <t>6730231</t>
  </si>
  <si>
    <t>206214</t>
  </si>
  <si>
    <t>50139145</t>
  </si>
  <si>
    <t>31053</t>
  </si>
  <si>
    <t>186928</t>
  </si>
  <si>
    <t>62119221</t>
  </si>
  <si>
    <t>29936</t>
  </si>
  <si>
    <t>66107125</t>
  </si>
  <si>
    <t>7461236</t>
  </si>
  <si>
    <t>516352</t>
  </si>
  <si>
    <t>72129196</t>
  </si>
  <si>
    <t>4366136</t>
  </si>
  <si>
    <t>7613818</t>
  </si>
  <si>
    <t>9578114</t>
  </si>
  <si>
    <t>56112220</t>
  </si>
  <si>
    <t>695212</t>
  </si>
  <si>
    <t>1411337</t>
  </si>
  <si>
    <t>515344</t>
  </si>
  <si>
    <t>233899</t>
  </si>
  <si>
    <t>100133200</t>
  </si>
  <si>
    <t>6443186</t>
  </si>
  <si>
    <t>8129234</t>
  </si>
  <si>
    <t>377330</t>
  </si>
  <si>
    <t>9936137</t>
  </si>
  <si>
    <t>708050</t>
  </si>
  <si>
    <t>5012374</t>
  </si>
  <si>
    <t>221841</t>
  </si>
  <si>
    <t>91143</t>
  </si>
  <si>
    <t>22114169</t>
  </si>
  <si>
    <t>2341193</t>
  </si>
  <si>
    <t>674468</t>
  </si>
  <si>
    <t>543743</t>
  </si>
  <si>
    <t>9273149</t>
  </si>
  <si>
    <t>705624</t>
  </si>
  <si>
    <t>411692</t>
  </si>
  <si>
    <t>523143</t>
  </si>
  <si>
    <t>845723</t>
  </si>
  <si>
    <t>10091143</t>
  </si>
  <si>
    <t>415162</t>
  </si>
  <si>
    <t>325873</t>
  </si>
  <si>
    <t>1412067</t>
  </si>
  <si>
    <t>9311066</t>
  </si>
  <si>
    <t>9793167</t>
  </si>
  <si>
    <t>431414</t>
  </si>
  <si>
    <t>98103143</t>
  </si>
  <si>
    <t>465350</t>
  </si>
  <si>
    <t>835264</t>
  </si>
  <si>
    <t>5969219</t>
  </si>
  <si>
    <t>6749231</t>
  </si>
  <si>
    <t>151257</t>
  </si>
  <si>
    <t>2892209</t>
  </si>
  <si>
    <t>26104101</t>
  </si>
  <si>
    <t>6614986</t>
  </si>
  <si>
    <t>552460</t>
  </si>
  <si>
    <t>2674156</t>
  </si>
  <si>
    <t>523216</t>
  </si>
  <si>
    <t>9993160</t>
  </si>
  <si>
    <t>70138149</t>
  </si>
  <si>
    <t>877346</t>
  </si>
  <si>
    <t>41124194</t>
  </si>
  <si>
    <t>9117218</t>
  </si>
  <si>
    <t>3266151</t>
  </si>
  <si>
    <t>24128229</t>
  </si>
  <si>
    <t>88893</t>
  </si>
  <si>
    <t>691853</t>
  </si>
  <si>
    <t>4781183</t>
  </si>
  <si>
    <t>279390</t>
  </si>
  <si>
    <t>783129</t>
  </si>
  <si>
    <t>5410111</t>
  </si>
  <si>
    <t>78113195</t>
  </si>
  <si>
    <t>54115174</t>
  </si>
  <si>
    <t>5569179</t>
  </si>
  <si>
    <t>9493176</t>
  </si>
  <si>
    <t>4511089</t>
  </si>
  <si>
    <t>3775123</t>
  </si>
  <si>
    <t>66621</t>
  </si>
  <si>
    <t>8713113</t>
  </si>
  <si>
    <t>9798240</t>
  </si>
  <si>
    <t>648764</t>
  </si>
  <si>
    <t>9692243</t>
  </si>
  <si>
    <t>788142</t>
  </si>
  <si>
    <t>2623180</t>
  </si>
  <si>
    <t>69126179</t>
  </si>
  <si>
    <t>21111180</t>
  </si>
  <si>
    <t>5987113</t>
  </si>
  <si>
    <t>2912028</t>
  </si>
  <si>
    <t>358144</t>
  </si>
  <si>
    <t>96376</t>
  </si>
  <si>
    <t>8926142</t>
  </si>
  <si>
    <t>877120</t>
  </si>
  <si>
    <t>3812224</t>
  </si>
  <si>
    <t>3711246</t>
  </si>
  <si>
    <t>105897</t>
  </si>
  <si>
    <t>61497</t>
  </si>
  <si>
    <t>6414549</t>
  </si>
  <si>
    <t>1211519</t>
  </si>
  <si>
    <t>58597</t>
  </si>
  <si>
    <t>567102</t>
  </si>
  <si>
    <t>127655</t>
  </si>
  <si>
    <t>67127212</t>
  </si>
  <si>
    <t>306368</t>
  </si>
  <si>
    <t>36144250</t>
  </si>
  <si>
    <t>6146155</t>
  </si>
  <si>
    <t>204473</t>
  </si>
  <si>
    <t>981209</t>
  </si>
  <si>
    <t>53140107</t>
  </si>
  <si>
    <t>8314373</t>
  </si>
  <si>
    <t>41312</t>
  </si>
  <si>
    <t>91684</t>
  </si>
  <si>
    <t>37128172</t>
  </si>
  <si>
    <t>6010124</t>
  </si>
  <si>
    <t>4378109</t>
  </si>
  <si>
    <t>914330</t>
  </si>
  <si>
    <t>1004763</t>
  </si>
  <si>
    <t>31545</t>
  </si>
  <si>
    <t>2445233</t>
  </si>
  <si>
    <t>43128136</t>
  </si>
  <si>
    <t>3636179</t>
  </si>
  <si>
    <t>19148124</t>
  </si>
  <si>
    <t>8082135</t>
  </si>
  <si>
    <t>MÊS</t>
  </si>
  <si>
    <t>ANO</t>
  </si>
  <si>
    <t>Soma de R$ TOTAL</t>
  </si>
  <si>
    <t>Rótulos de Linha</t>
  </si>
  <si>
    <t>Total Geral</t>
  </si>
  <si>
    <t>Última Atualização</t>
  </si>
  <si>
    <t>&lt;?xml version="1.0" encoding="UTF-8"?&gt;&lt;nfeProc versao="4.00" xmlns="http://www.portalfiscal.inf.br/nfe"&gt;&lt;NFe xmlns="http://www.portalfiscal.inf.br/nfe"&gt;&lt;infNFe versao="4.00" Id="NFe43240402661244000140550010002391961005534076"&gt;&lt;ide&gt;&lt;cUF&gt;43&lt;/cUF&gt;&lt;cNF&gt;00553407&lt;/cNF&gt;&lt;natOp&gt;Venda de producao do estabelecimento&lt;/natOp&gt;&lt;mod&gt;55&lt;/mod&gt;&lt;serie&gt;1&lt;/serie&gt;&lt;nNF&gt;239196&lt;/nNF&gt;&lt;dhEmi&gt;2024-04-08T08:47:31-03:00&lt;/dhEmi&gt;&lt;tpNF&gt;1&lt;/tpNF&gt;&lt;idDest&gt;1&lt;/idDest&gt;&lt;cMunFG&gt;4313409&lt;/cMunFG&gt;&lt;tpImp&gt;1&lt;/tpImp&gt;&lt;tpEmis&gt;1&lt;/tpEmis&gt;&lt;cDV&gt;6&lt;/cDV&gt;&lt;tpAmb&gt;1&lt;/tpAmb&gt;&lt;finNFe&gt;1&lt;/finNFe&gt;&lt;indFinal&gt;0&lt;/indFinal&gt;&lt;indPres&gt;0&lt;/indPres&gt;&lt;procEmi&gt;0&lt;/procEmi&gt;&lt;verProc&gt;ACBrNFe&lt;/verProc&gt;&lt;/ide&gt;&lt;emit&gt;&lt;CNPJ&gt;02661244000140&lt;/CNPJ&gt;&lt;xNome&gt;EMBASUL - IND E COM DE EMBALAGENS LTDA&lt;/xNome&gt;&lt;xFant&gt;MATRIZ - NH&lt;/xFant&gt;&lt;enderEmit&gt;&lt;xLgr&gt;RUA FARROUPILHA&lt;/xLgr&gt;&lt;nro&gt;233&lt;/nro&gt;&lt;xBairro&gt;SAO JOSE&lt;/xBairro&gt;&lt;cMun&gt;4313409&lt;/cMun&gt;&lt;xMun&gt;Novo Hamburgo&lt;/xMun&gt;&lt;UF&gt;RS&lt;/UF&gt;&lt;CEP&gt;93530500&lt;/CEP&gt;&lt;cPais&gt;1058&lt;/cPais&gt;&lt;xPais&gt;Brasil&lt;/xPais&gt;&lt;fone&gt;5135959696&lt;/fone&gt;&lt;/enderEmit&gt;&lt;IE&gt;0860274438&lt;/IE&gt;&lt;IM&gt;53992&lt;/IM&gt;&lt;CNAE&gt;1733800&lt;/CNAE&gt;&lt;CRT&gt;3&lt;/CRT&gt;&lt;/emit&gt;&lt;dest&gt;&lt;CNPJ&gt;97755177000130&lt;/CNPJ&gt;&lt;xNome&gt;A GRINGS S/A&lt;/xNome&gt;&lt;enderDest&gt;&lt;xLgr&gt;RUA GEN ERNESTO DORNELLES&lt;/xLgr&gt;&lt;nro&gt;577&lt;/nro&gt;&lt;xBairro&gt;CENTRO&lt;/xBairro&gt;&lt;cMun&gt;4310108&lt;/cMun&gt;&lt;xMun&gt;IGREJINHA&lt;/xMun&gt;&lt;UF&gt;RS&lt;/UF&gt;&lt;CEP&gt;95650000&lt;/CEP&gt;&lt;cPais&gt;1058&lt;/cPais&gt;&lt;xPais&gt;BRASIL&lt;/xPais&gt;&lt;fone&gt;5135499600&lt;/fone&gt;&lt;/enderDest&gt;&lt;indIEDest&gt;1&lt;/indIEDest&gt;&lt;IE&gt;1610000762&lt;/IE&gt;&lt;email&gt;nfe@piccadilly.com.br&lt;/email&gt;&lt;/dest&gt;&lt;det nItem="1"&gt;&lt;prod&gt;&lt;cProd&gt;158025-1&lt;/cProd&gt;&lt;cEAN&gt;SEM GTIN&lt;/cEAN&gt;&lt;xProd&gt;CX CORR DUPLO 12/19 PICCADILLY&lt;/xProd&gt;&lt;NCM&gt;48191000&lt;/NCM&gt;&lt;CFOP&gt;5101&lt;/CFOP&gt;&lt;uCom&gt;UN&lt;/uCom&gt;&lt;qCom&gt;144.0000&lt;/qCom&gt;&lt;vUnCom&gt;6.1100000000&lt;/vUnCom&gt;&lt;vProd&gt;879.84&lt;/vProd&gt;&lt;cEANTrib&gt;SEM GTIN&lt;/cEANTrib&gt;&lt;uTrib&gt;UN&lt;/uTrib&gt;&lt;qTrib&gt;144.0000&lt;/qTrib&gt;&lt;vUnTrib&gt;6.1100000000&lt;/vUnTrib&gt;&lt;indTot&gt;1&lt;/indTot&gt;&lt;xPed&gt;397836&lt;/xPed&gt;&lt;nItemPed&gt;1&lt;/nItemPed&gt;&lt;/prod&gt;&lt;imposto&gt;&lt;vTotTrib&gt;300.29&lt;/vTotTrib&gt;&lt;ICMS&gt;&lt;ICMS51&gt;&lt;orig&gt;0&lt;/orig&gt;&lt;CST&gt;51&lt;/CST&gt;&lt;modBC&gt;3&lt;/modBC&gt;&lt;pRedBC&gt;0.0000&lt;/pRedBC&gt;&lt;vBC&gt;879.84&lt;/vBC&gt;&lt;pICMS&gt;17.0000&lt;/pICMS&gt;&lt;vICMSOp&gt;149.57&lt;/vICMSOp&gt;&lt;pDif&gt;29.4118&lt;/pDif&gt;&lt;vICMSDif&gt;43.99&lt;/vICMSDif&gt;&lt;vICMS&gt;105.58&lt;/vICMS&gt;&lt;/ICMS51&gt;&lt;/ICMS&gt;&lt;IPI&gt;&lt;cEnq&gt;122&lt;/cEnq&gt;&lt;IPINT&gt;&lt;CST&gt;55&lt;/CST&gt;&lt;/IPINT&gt;&lt;/IPI&gt;&lt;PIS&gt;&lt;PISAliq&gt;&lt;CST&gt;01&lt;/CST&gt;&lt;vBC&gt;774.26&lt;/vBC&gt;&lt;pPIS&gt;1.6500&lt;/pPIS&gt;&lt;vPIS&gt;12.78&lt;/vPIS&gt;&lt;/PISAliq&gt;&lt;/PIS&gt;&lt;COFINS&gt;&lt;COFINSAliq&gt;&lt;CST&gt;01&lt;/CST&gt;&lt;vBC&gt;774.26&lt;/vBC&gt;&lt;pCOFINS&gt;7.6000&lt;/pCOFINS&gt;&lt;vCOFINS&gt;58.84&lt;/vCOFINS&gt;&lt;/COFINSAliq&gt;&lt;/COFINS&gt;&lt;/imposto&gt;&lt;infAdProd&gt;IAP0170000021-12/19 397836 000151860105102024 cProdCliente:&amp;quot;70000021-12/19&amp;quot; OrdemServico:&amp;quot;&amp;quot; OC 397836&lt;/infAdProd&gt;&lt;/det&gt;&lt;det nItem="2"&gt;&lt;prod&gt;&lt;cProd&gt;158026-1&lt;/cProd&gt;&lt;cEAN&gt;SEM GTIN&lt;/cEAN&gt;&lt;xProd&gt;CX CORR DUPLO 12/22 PICCADILLY&lt;/xProd&gt;&lt;NCM&gt;48191000&lt;/NCM&gt;&lt;CFOP&gt;5101&lt;/CFOP&gt;&lt;uCom&gt;UN&lt;/uCom&gt;&lt;qCom&gt;156.0000&lt;/qCom&gt;&lt;vUnCom&gt;6.8510000000&lt;/vUnCom&gt;&lt;vProd&gt;1068.76&lt;/vProd&gt;&lt;cEANTrib&gt;SEM GTIN&lt;/cEANTrib&gt;&lt;uTrib&gt;UN&lt;/uTrib&gt;&lt;qTrib&gt;156.0000&lt;/qTrib&gt;&lt;vUnTrib&gt;6.8510000000&lt;/vUnTrib&gt;&lt;indTot&gt;1&lt;/indTot&gt;&lt;xPed&gt;397836&lt;/xPed&gt;&lt;nItemPed&gt;2&lt;/nItemPed&gt;&lt;/prod&gt;&lt;imposto&gt;&lt;vTotTrib&gt;364.77&lt;/vTotTrib&gt;&lt;ICMS&gt;&lt;ICMS51&gt;&lt;orig&gt;0&lt;/orig&gt;&lt;CST&gt;51&lt;/CST&gt;&lt;modBC&gt;3&lt;/modBC&gt;&lt;pRedBC&gt;0.0000&lt;/pRedBC&gt;&lt;vBC&gt;1068.76&lt;/vBC&gt;&lt;pICMS&gt;17.0000&lt;/pICMS&gt;&lt;vICMSOp&gt;181.69&lt;/vICMSOp&gt;&lt;pDif&gt;29.4118&lt;/pDif&gt;&lt;vICMSDif&gt;53.44&lt;/vICMSDif&gt;&lt;vICMS&gt;128.25&lt;/vICMS&gt;&lt;/ICMS51&gt;&lt;/ICMS&gt;&lt;IPI&gt;&lt;cEnq&gt;122&lt;/cEnq&gt;&lt;IPINT&gt;&lt;CST&gt;55&lt;/CST&gt;&lt;/IPINT&gt;&lt;/IPI&gt;&lt;PIS&gt;&lt;PISAliq&gt;&lt;CST&gt;01&lt;/CST&gt;&lt;vBC&gt;940.51&lt;/vBC&gt;&lt;pPIS&gt;1.6500&lt;/pPIS&gt;&lt;vPIS&gt;15.52&lt;/vPIS&gt;&lt;/PISAliq&gt;&lt;/PIS&gt;&lt;COFINS&gt;&lt;COFINSAliq&gt;&lt;CST&gt;01&lt;/CST&gt;&lt;vBC&gt;940.51&lt;/vBC&gt;&lt;pCOFINS&gt;7.6000&lt;/pCOFINS&gt;&lt;vCOFINS&gt;71.48&lt;/vCOFINS&gt;&lt;/COFINSAliq&gt;&lt;/COFINS&gt;&lt;/imposto&gt;&lt;infAdProd&gt;IAP0170000021-12/22 397836 000151860205102024 cProdCliente:&amp;quot;70000021-12/22&amp;quot; OrdemServico:&amp;quot;&amp;quot; OC 397836&lt;/infAdProd&gt;&lt;/det&gt;&lt;det nItem="3"&gt;&lt;prod&gt;&lt;cProd&gt;157981-1&lt;/cProd&gt;&lt;cEAN&gt;SEM GTIN&lt;/cEAN&gt;&lt;xProd&gt;CX CORR DUPLO 06/11 PICCADILLY&lt;/xProd&gt;&lt;NCM&gt;48191000&lt;/NCM&gt;&lt;CFOP&gt;5101&lt;/CFOP&gt;&lt;uCom&gt;UN&lt;/uCom&gt;&lt;qCom&gt;20.0000&lt;/qCom&gt;&lt;vUnCom&gt;3.2260000000&lt;/vUnCom&gt;&lt;vProd&gt;64.52&lt;/vProd&gt;&lt;cEANTrib&gt;SEM GTIN&lt;/cEANTrib&gt;&lt;uTrib&gt;UN&lt;/uTrib&gt;&lt;qTrib&gt;20.0000&lt;/qTrib&gt;&lt;vUnTrib&gt;3.2260000000&lt;/vUnTrib&gt;&lt;indTot&gt;1&lt;/indTot&gt;&lt;xPed&gt;397836&lt;/xPed&gt;&lt;nItemPed&gt;3&lt;/nItemPed&gt;&lt;/prod&gt;&lt;imposto&gt;&lt;vTotTrib&gt;22.02&lt;/vTotTrib&gt;&lt;ICMS&gt;&lt;ICMS51&gt;&lt;orig&gt;0&lt;/orig&gt;&lt;CST&gt;51&lt;/CST&gt;&lt;modBC&gt;3&lt;/modBC&gt;&lt;pRedBC&gt;0.0000&lt;/pRedBC&gt;&lt;vBC&gt;64.52&lt;/vBC&gt;&lt;pICMS&gt;17.0000&lt;/pICMS&gt;&lt;vICMSOp&gt;10.97&lt;/vICMSOp&gt;&lt;pDif&gt;29.4118&lt;/pDif&gt;&lt;vICMSDif&gt;3.23&lt;/vICMSDif&gt;&lt;vICMS&gt;7.74&lt;/vICMS&gt;&lt;/ICMS51&gt;&lt;/ICMS&gt;&lt;IPI&gt;&lt;cEnq&gt;122&lt;/cEnq&gt;&lt;IPINT&gt;&lt;CST&gt;55&lt;/CST&gt;&lt;/IPINT&gt;&lt;/IPI&gt;&lt;PIS&gt;&lt;PISAliq&gt;&lt;CST&gt;01&lt;/CST&gt;&lt;vBC&gt;56.78&lt;/vBC&gt;&lt;pPIS&gt;1.6500&lt;/pPIS&gt;&lt;vPIS&gt;0.94&lt;/vPIS&gt;&lt;/PISAliq&gt;&lt;/PIS&gt;&lt;COFINS&gt;&lt;COFINSAliq&gt;&lt;CST&gt;01&lt;/CST&gt;&lt;vBC&gt;56.78&lt;/vBC&gt;&lt;pCOFINS&gt;7.6000&lt;/pCOFINS&gt;&lt;vCOFINS&gt;4.32&lt;/vCOFINS&gt;&lt;/COFINSAliq&gt;&lt;/COFINS&gt;&lt;/imposto&gt;&lt;infAdProd&gt;IAP0170000021-06/11 397836 000151860305102024 cProdCliente:&amp;quot;70000021-06/11&amp;quot; OrdemServico:&amp;quot;&amp;quot; OC 397836&lt;/infAdProd&gt;&lt;/det&gt;&lt;det nItem="4"&gt;&lt;prod&gt;&lt;cProd&gt;158309-1&lt;/cProd&gt;&lt;cEAN&gt;SEM GTIN&lt;/cEAN&gt;&lt;xProd&gt;CX CORR DUPLO 06/25 PICCADILLY&lt;/xProd&gt;&lt;NCM&gt;48191000&lt;/NCM&gt;&lt;CFOP&gt;5101&lt;/CFOP&gt;&lt;uCom&gt;UN&lt;/uCom&gt;&lt;qCom&gt;23.0000&lt;/qCom&gt;&lt;vUnCom&gt;4.6780000000&lt;/vUnCom&gt;&lt;vProd&gt;107.59&lt;/vProd&gt;&lt;cEANTrib&gt;SEM GTIN&lt;/cEANTrib&gt;&lt;uTrib&gt;UN&lt;/uTrib&gt;&lt;qTrib&gt;23.0000&lt;/qTrib&gt;&lt;vUnTrib&gt;4.6780000000&lt;/vUnTrib&gt;&lt;indTot&gt;1&lt;/indTot&gt;&lt;xPed&gt;397836&lt;/xPed&gt;&lt;nItemPed&gt;4&lt;/nItemPed&gt;&lt;/prod&gt;&lt;imposto&gt;&lt;vTotTrib&gt;36.72&lt;/vTotTrib&gt;&lt;ICMS&gt;&lt;ICMS51&gt;&lt;orig&gt;0&lt;/orig&gt;&lt;CST&gt;51&lt;/CST&gt;&lt;modBC&gt;3&lt;/modBC&gt;&lt;pRedBC&gt;0.0000&lt;/pRedBC&gt;&lt;vBC&gt;107.59&lt;/vBC&gt;&lt;pICMS&gt;17.0000&lt;/pICMS&gt;&lt;vICMSOp&gt;18.29&lt;/vICMSOp&gt;&lt;pDif&gt;29.4118&lt;/pDif&gt;&lt;vICMSDif&gt;5.38&lt;/vICMSDif&gt;&lt;vICMS&gt;12.91&lt;/vICMS&gt;&lt;/ICMS51&gt;&lt;/ICMS&gt;&lt;IPI&gt;&lt;cEnq&gt;122&lt;/cEnq&gt;&lt;IPINT&gt;&lt;CST&gt;55&lt;/CST&gt;&lt;/IPINT&gt;&lt;/IPI&gt;&lt;PIS&gt;&lt;PISAliq&gt;&lt;CST&gt;01&lt;/CST&gt;&lt;vBC&gt;94.68&lt;/vBC&gt;&lt;pPIS&gt;1.6500&lt;/pPIS&gt;&lt;vPIS&gt;1.56&lt;/vPIS&gt;&lt;/PISAliq&gt;&lt;/PIS&gt;&lt;COFINS&gt;&lt;COFINSAliq&gt;&lt;CST&gt;01&lt;/CST&gt;&lt;vBC&gt;94.68&lt;/vBC&gt;&lt;pCOFINS&gt;7.6000&lt;/pCOFINS&gt;&lt;vCOFINS&gt;7.20&lt;/vCOFINS&gt;&lt;/COFINSAliq&gt;&lt;/COFINS&gt;&lt;/imposto&gt;&lt;infAdProd&gt;IAP0170000021-06/25 397836 000151860405102024 cProdCliente:&amp;quot;70000021-06/25&amp;quot; OrdemServico:&amp;quot;&amp;quot; OC 397836&lt;/infAdProd&gt;&lt;/det&gt;&lt;total&gt;&lt;ICMSTot&gt;&lt;vBC&gt;2120.71&lt;/vBC&gt;&lt;vICMS&gt;254.48&lt;/vICMS&gt;&lt;vICMSDeson&gt;0.00&lt;/vICMSDeson&gt;&lt;vFCP&gt;0.00&lt;/vFCP&gt;&lt;vBCST&gt;0.00&lt;/vBCST&gt;&lt;vST&gt;0.00&lt;/vST&gt;&lt;vFCPST&gt;0.00&lt;/vFCPST&gt;&lt;vFCPSTRet&gt;0.00&lt;/vFCPSTRet&gt;&lt;vProd&gt;2120.71&lt;/vProd&gt;&lt;vFrete&gt;0.00&lt;/vFrete&gt;&lt;vSeg&gt;0.00&lt;/vSeg&gt;&lt;vDesc&gt;0.00&lt;/vDesc&gt;&lt;vII&gt;0.00&lt;/vII&gt;&lt;vIPI&gt;0.00&lt;/vIPI&gt;&lt;vIPIDevol&gt;0.00&lt;/vIPIDevol&gt;&lt;vPIS&gt;30.80&lt;/vPIS&gt;&lt;vCOFINS&gt;141.84&lt;/vCOFINS&gt;&lt;vOutro&gt;0.00&lt;/vOutro&gt;&lt;vNF&gt;2120.71&lt;/vNF&gt;&lt;vTotTrib&gt;723.80&lt;/vTotTrib&gt;&lt;/ICMSTot&gt;&lt;/total&gt;&lt;transp&gt;&lt;modFrete&gt;0&lt;/modFrete&gt;&lt;transporta&gt;&lt;CNPJ&gt;05789717000188&lt;/CNPJ&gt;&lt;xNome&gt;TRANSPORTES EDENILSON E SOBRINHO LTDA&lt;/xNome&gt;&lt;IE&gt;0190087838&lt;/IE&gt;&lt;xEnder&gt;RUA VICENTE CELESTINO 302&lt;/xEnder&gt;&lt;xMun&gt;CAMPO BOM&lt;/xMun&gt;&lt;UF&gt;RS&lt;/UF&gt;&lt;/transporta&gt;&lt;vol&gt;&lt;qVol&gt;36&lt;/qVol&gt;&lt;esp&gt;VOLUME&lt;/esp&gt;&lt;pesoL&gt;294.034&lt;/pesoL&gt;&lt;pesoB&gt;294.034&lt;/pesoB&gt;&lt;/vol&gt;&lt;/transp&gt;&lt;cobr&gt;&lt;fat&gt;&lt;nFat&gt;239196&lt;/nFat&gt;&lt;vOrig&gt;2120.71&lt;/vOrig&gt;&lt;vDesc&gt;0.00&lt;/vDesc&gt;&lt;vLiq&gt;2120.71&lt;/vLiq&gt;&lt;/fat&gt;&lt;dup&gt;&lt;nDup&gt;001&lt;/nDup&gt;&lt;dVenc&gt;2024-05-06&lt;/dVenc&gt;&lt;vDup&gt;706.91&lt;/vDup&gt;&lt;/dup&gt;&lt;dup&gt;&lt;nDup&gt;002&lt;/nDup&gt;&lt;dVenc&gt;2024-05-27&lt;/dVenc&gt;&lt;vDup&gt;706.90&lt;/vDup&gt;&lt;/dup&gt;&lt;dup&gt;&lt;nDup&gt;003&lt;/nDup&gt;&lt;dVenc&gt;2024-06-10&lt;/dVenc&gt;&lt;vDup&gt;706.90&lt;/vDup&gt;&lt;/dup&gt;&lt;/cobr&gt;&lt;pag&gt;&lt;detPag&gt;&lt;indPag&gt;1&lt;/indPag&gt;&lt;tPag&gt;15&lt;/tPag&gt;&lt;vPag&gt;2120.71&lt;/vPag&gt;&lt;/detPag&gt;&lt;/pag&gt;&lt;infAdic&gt;&lt;infCpl&gt;&amp;quot;SAIDA COM SUSPENSAO DE IPI CONFORME ARTIGO 29 DA LEI 10637/02&amp;quot;;Todos os itens desta nota fiscal referem-se a cxs de papelao corrugado.;;ICMS Diferido nos termos do Livro III, Art 1 -E, c/c Apendice XLIII.Aprovado pelo Decreto 37.699/97.RICMS/RS.IPI Suspenso nos termos do Art 46, Inciso I do Decreto 7.212/2010, c/c Art.29 da Lei 10.637/2002.;OC: 397836;CONTRIBUINTE DISPENSADO DE EMITIR CONHECIMENTO DE TRANSPORTE;RODOVIARIO DE CARGAS CONFORME OFICIO N 01923003.;; Fonte do valor aproximado dos Tributos: IBPT&lt;/infCpl&gt;&lt;/infAdic&gt;&lt;/infNFe&gt;&lt;Signature xmlns="http://www.w3.org/2000/09/xmldsig#"&gt;&lt;SignedInfo&gt;&lt;CanonicalizationMethod Algorithm="http://www.w3.org/TR/2001/REC-xml-c14n-20010315"/&gt;&lt;SignatureMethod Algorithm="http://www.w3.org/2000/09/xmldsig#rsa-sha1"/&gt;&lt;Reference URI="#NFe43240402661244000140550010002391961005534076"&gt;&lt;Transforms&gt;&lt;Transform Algorithm="http://www.w3.org/2000/09/xmldsig#enveloped-signature"/&gt;&lt;Transform Algorithm="http://www.w3.org/TR/2001/REC-xml-c14n-20010315"/&gt;&lt;/Transforms&gt;&lt;DigestMethod Algorithm="http://www.w3.org/2000/09/xmldsig#sha1"/&gt;&lt;DigestValue&gt;npObPGFNvzIUZQ5xdM+f636hnZ8=&lt;/DigestValue&gt;&lt;/Reference&gt;&lt;/SignedInfo&gt;&lt;SignatureValue&gt;YG6ZwwxL+WPt2a1mSWXIibBUDYzweWOlPQehSB51j9OmhRyeH8a8hJWYeLVHsdkxchmibaUsybM3W5fQfrqogP6FWlO+qAEIcVyWzVP5P5DJvF8i3VcEFPf5+UyWS+g6J12m2DuyNNzgAbx1bjM4Pu5Yd/VxbCYBLLdfcr0nrhN7WESYvWbNJdh/4gnksnTvt510xHyBNWA4NrJ7Y2b5abjxn+kx3nyE01MGlNyGe8Y1ZU1keCjs4G95X38NIOFu93zFCZKA7U3SdHXzvXogzoB+ocZZJXQu9CDbThbPwBzJCe7+Deq6E7ek4m0CNR5I/TmS/v7QDDk79FTrC4KPyQ==&lt;/SignatureValue&gt;&lt;KeyInfo&gt;&lt;X509Data&gt;&lt;X509Certificate&gt;MIIICzCCBfOgAwIBAgIIExGBazfYR30wDQYJKoZIhvcNAQELBQAwdDELMAkGA1UEBhMCQlIxEzARBgNVBAoTCklDUC1CcmFzaWwxNjA0BgNVBAsTLVNlY3JldGFyaWEgZGEgUmVjZWl0YSBGZWRlcmFsIGRvIEJyYXNpbCAtIFJGQjEYMBYGA1UEAxMPQUMgVkFMSUQgUkZCIHY1MB4XDTIzMDkwNjE0NDAwM1oXDTI0MDkwNTE0NDAwM1owggE+MQswCQYDVQQGEwJCUjELMAkGA1UECBMCUlMxFjAUBgNVBAcTDU5PVk8gSEFNQlVSR08xEzARBgNVBAoTCklDUC1CcmFzaWwxNjA0BgNVBAsTLVNlY3JldGFyaWEgZGEgUmVjZWl0YSBGZWRlcmFsIGRvIEJyYXNpbCAtIFJGQjEWMBQGA1UECxMNUkZCIGUtQ05QSiBBMTEoMCYGA1UECxMfQVIgUFJBVElDQSBDRVJUSUZJQ0FDQU8gRElHSVRBTDEZMBcGA1UECxMQVmlkZW9jb25mZXJlbmNpYTEXMBUGA1UECxMOMTQ5MTE1NjIwMDAxMDAxRzBFBgNVBAMTPkVNQkFTVUwgSU5EVVNUUklBIEUgQ09NRVJDSU8gREUgRU1CQUxBR0VOUyBMVERBOjAyNjYxMjQ0MDAwMTQwMIIBIjANBgkqhkiG9w0BAQEFAAOCAQ8AMIIBCgKCAQEA230mXYR6I/0F+R86RoIaqeTIG3z9YsGKPqABnh9QnVpXBhB66/zazQsQ3kv+Ww5ss0KPBu10ULpXLUPKempTyjhi+GZzOHhJlPtxrC37Wt8KYP3Xg1bZeYrkkR92S65iP2+9oTc8JmyGlUw3g7RIHdHms90Ycgeyg15xXOMQQFsRquWDo3ILrDHhLJ7Yj7/G4MRdP1t4/HhPqJhfb0W3M8ULcCZNb22MhMfrdGlfka/lA+XJAdrMnxbwxvK5l8MDuZ2IQxntvpjJ4LXEeCEFRxRlH0/IKbedJjk+AKUa0fvRWxxxam6JaBq8u6yeV0rjjLRkGTEOs3ivF4jSA12zHQIDAQABo4IC0zCCAs8wgZwGCCsGAQUFBwEBBIGPMIGMMFUGCCsGAQUFBzAChklodHRwOi8vaWNwLWJyYXNpbC52YWxpZGNlcnRpZmljYWRvcmEuY29tLmJyL2FjLXZhbGlkcmZiL2FjLXZhbGlkcmZidjUucDdiMDMGCCsGAQUFBzABhidodHRwOi8vb2NzcHY1LnZhbGlkY2VydGlmaWNhZG9yYS5jb20uYnIwCQYDVR0TBAIwADAfBgNVHSMEGDAWgBRTy6XkdVCZQCy+WxVFyb7LMKqJxTBwBgNVHSAEaTBnMGUGBmBMAQIBJTBbMFkGCCsGAQUFBwIBFk1odHRwOi8vaWNwLWJyYXNpbC52YWxpZGNlcnRpZmljYWRvcmEuY29tLmJyL2FjLXZhbGlkcmZiL2RwYy1hYy12YWxpZHJmYnY1LnBkZjCBtgYDVR0fBIGuMIGrMFOgUaBPhk1odHRwOi8vaWNwLWJyYXNpbC52YWxpZGNlcnRpZmljYWRvcmEuY29tLmJyL2FjLXZhbGlkcmZiL2xjci1hYy12YWxpZHJmYnY1LmNybDBUoFKgUIZOaHR0cDovL2ljcC1icmFzaWwyLnZhbGlkY2VydGlmaWNhZG9yYS5jb20uYnIvYWMtdmFsaWRyZmIvbGNyLWFjLXZhbGlkcmZidjUuY3JsMA4GA1UdDwEB/wQEAwIF4DAdBgNVHSUEFjAUBggrBgEFBQcDAgYIKwYBBQUHAwQwgacGA1UdEQSBnzCBnIEUY2Vsc29AZW1iYXN1bC5jb20uYnKgOAYFYEwBAwSgLwQtMTkwODE5NTAyMTkyMjQwMzA5MTAwMDAwMDAwMDAwMDAwMDAwMDAwMDAwMDAwoBYGBWBMAQMCoA0EC0NFTFNPIEJBU1NPoBkGBWBMAQMDoBAEDjAyNjYxMjQ0MDAwMTQwoBcGBWBMAQMHoA4EDDAwMDAwMDAwMDAwMDANBgkqhkiG9w0BAQsFAAOCAgEAexdwnlAmxJTVXlGkHDoY3dqvKUega2K0XbS+7aad27JpzSCkR9JKLsMWMAT4XgdqE9cg4jPdF0oJHwKEwydU9/OEs6zNpBuk8KX4W8N7u9uVQ2skSD0KIvGhG/+/JEvOG5//fcX/Pg4TNt+LFxtxLfGShWGMQsJJpPKPM/QTjUiPmOv/HM6XFJnwZMK8M8QVLkrPX4Dxln1TBqmMN0MXdASl2wxsJQ4G8Ym9lgViWN2a5ZAqy2+xP6qnGdIFqrHdjg3WJVmTC7g05RSGqU/gxFmONXalDE/VWyY99ifN7jVPQN35iSPKHkdHvLaObDAIAh5AnAvuFHL1DYVdzgADABTTu4zvldna8t/Y5ykcVIBPESPGCNIxRkp40O0ek/RR0cXc2Io5E7EkiZV3nH7gagoqYFeHphpzTZ2MJjccLTIWAxHrgKdlMYULSCgm8SgjeofMjOXjHsFJphkpca2zWmyHeZjWvK0adhazxt+NI7iSYtIOJuH5eFpnq00oAey0QMANKNVxSVv6LS07a63bWdLs2+A+xm2DnoR3OpE3Mk3oe7tDmjK25LF4axX7JzbyRA/4XuuzYuS3RW/Fpe62WPm4JJE/O+TPH7/+MspU6x5V6GrPGcwR9UBl4fKmnE+CaGDjwQ7CI+UzAMtv/93isDHNw5RZXxkoKBwUlNs6ziA=&lt;/X509Certificate&gt;&lt;/X509Data&gt;&lt;/KeyInfo&gt;&lt;/Signature&gt;&lt;/NFe&gt;&lt;protNFe versao="4.00"&gt;&lt;infProt&gt;&lt;tpAmb&gt;1&lt;/tpAmb&gt;&lt;verAplic&gt;RS202401251654&lt;/verAplic&gt;&lt;chNFe&gt;43240402661244000140550010002391961005534076&lt;/chNFe&gt;&lt;dhRecbto&gt;2024-04-08T08:47:59-03:00&lt;/dhRecbto&gt;&lt;nProt&gt;143240084759100&lt;/nProt&gt;&lt;digVal&gt;npObPGFNvzIUZQ5xdM+f636hnZ8=&lt;/digVal&gt;&lt;cStat&gt;100&lt;/cStat&gt;&lt;xMotivo&gt;Autorizado o uso da NF-e&lt;/xMotivo&gt;&lt;/infProt&gt;&lt;/protNFe&gt;&lt;/nfeProc&gt;</t>
  </si>
  <si>
    <t>111.1111.1111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</si>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</sst>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£&quot;* #,##0.00_-;\-&quot;£&quot;* #,##0.00_-;_-&quot;£&quot;* &quot;-&quot;??_-;_-@_-"/>
    <numFmt numFmtId="165" formatCode="_-[$R$-416]\ * #,##0.00_-;\-[$R$-416]\ * #,##0.00_-;_-[$R$-416]\ * &quot;-&quot;??_-;_-@_-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5"/>
      <color theme="4"/>
      <name val="Aptos Narrow"/>
      <scheme val="minor"/>
    </font>
    <font>
      <b/>
      <sz val="11"/>
      <color theme="1"/>
      <name val="Aptos Narrow"/>
      <scheme val="minor"/>
    </font>
    <font>
      <b/>
      <sz val="14"/>
      <color theme="4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4" tint="0.79998168889431442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5" xfId="0" applyBorder="1"/>
    <xf numFmtId="0" fontId="0" fillId="0" borderId="1" xfId="0" applyBorder="1"/>
    <xf numFmtId="0" fontId="0" fillId="0" borderId="7" xfId="0" applyBorder="1"/>
    <xf numFmtId="14" fontId="0" fillId="0" borderId="6" xfId="0" applyNumberFormat="1" applyBorder="1"/>
    <xf numFmtId="14" fontId="0" fillId="0" borderId="5" xfId="0" applyNumberFormat="1" applyBorder="1"/>
    <xf numFmtId="165" fontId="3" fillId="0" borderId="5" xfId="0" applyNumberFormat="1" applyFont="1" applyBorder="1"/>
    <xf numFmtId="165" fontId="3" fillId="0" borderId="4" xfId="0" applyNumberFormat="1" applyFont="1" applyBorder="1"/>
    <xf numFmtId="0" fontId="0" fillId="3" borderId="9" xfId="0" applyFill="1" applyBorder="1"/>
    <xf numFmtId="0" fontId="0" fillId="3" borderId="1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8" xfId="0" applyFill="1" applyBorder="1" applyAlignment="1">
      <alignment horizontal="left" indent="14"/>
    </xf>
    <xf numFmtId="14" fontId="0" fillId="0" borderId="2" xfId="0" applyNumberFormat="1" applyBorder="1"/>
    <xf numFmtId="44" fontId="0" fillId="0" borderId="4" xfId="1" applyNumberFormat="1" applyFont="1" applyBorder="1"/>
    <xf numFmtId="44" fontId="0" fillId="0" borderId="5" xfId="0" applyNumberFormat="1" applyBorder="1"/>
    <xf numFmtId="44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4" xfId="0" applyNumberFormat="1" applyBorder="1" applyAlignment="1">
      <alignment horizontal="right"/>
    </xf>
    <xf numFmtId="0" fontId="0" fillId="0" borderId="16" xfId="0" applyBorder="1"/>
    <xf numFmtId="44" fontId="0" fillId="0" borderId="18" xfId="1" applyNumberFormat="1" applyFont="1" applyBorder="1"/>
    <xf numFmtId="44" fontId="0" fillId="0" borderId="17" xfId="0" applyNumberFormat="1" applyBorder="1"/>
    <xf numFmtId="164" fontId="2" fillId="2" borderId="1" xfId="1" applyFont="1" applyFill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0" fontId="2" fillId="2" borderId="2" xfId="0" applyNumberFormat="1" applyFont="1" applyFill="1" applyBorder="1"/>
    <xf numFmtId="164" fontId="2" fillId="2" borderId="2" xfId="1" applyFont="1" applyFill="1" applyBorder="1"/>
    <xf numFmtId="44" fontId="2" fillId="2" borderId="2" xfId="1" applyNumberFormat="1" applyFont="1" applyFill="1" applyBorder="1"/>
    <xf numFmtId="44" fontId="2" fillId="2" borderId="19" xfId="1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4" xfId="0" applyNumberFormat="1" applyFont="1" applyBorder="1" applyAlignment="1">
      <alignment horizontal="right"/>
    </xf>
    <xf numFmtId="1" fontId="0" fillId="0" borderId="0" xfId="0" applyNumberFormat="1"/>
    <xf numFmtId="0" fontId="5" fillId="0" borderId="0" xfId="0" applyNumberFormat="1" applyFont="1"/>
    <xf numFmtId="0" fontId="0" fillId="4" borderId="0" xfId="0" applyFill="1"/>
    <xf numFmtId="0" fontId="0" fillId="4" borderId="0" xfId="0" applyFill="1" applyBorder="1"/>
    <xf numFmtId="0" fontId="0" fillId="4" borderId="5" xfId="0" applyFill="1" applyBorder="1"/>
    <xf numFmtId="0" fontId="7" fillId="5" borderId="5" xfId="0" applyFont="1" applyFill="1" applyBorder="1"/>
    <xf numFmtId="165" fontId="3" fillId="6" borderId="20" xfId="0" applyNumberFormat="1" applyFont="1" applyFill="1" applyBorder="1"/>
    <xf numFmtId="165" fontId="3" fillId="4" borderId="20" xfId="0" applyNumberFormat="1" applyFont="1" applyFill="1" applyBorder="1"/>
    <xf numFmtId="165" fontId="3" fillId="4" borderId="5" xfId="0" applyNumberFormat="1" applyFont="1" applyFill="1" applyBorder="1"/>
    <xf numFmtId="0" fontId="8" fillId="4" borderId="0" xfId="0" applyFont="1" applyFill="1" applyAlignment="1">
      <alignment horizontal="center"/>
    </xf>
    <xf numFmtId="0" fontId="8" fillId="4" borderId="0" xfId="0" applyFont="1" applyFill="1" applyAlignment="1">
      <alignment horizontal="right"/>
    </xf>
    <xf numFmtId="22" fontId="6" fillId="4" borderId="0" xfId="0" applyNumberFormat="1" applyFont="1" applyFill="1" applyAlignment="1">
      <alignment horizontal="left"/>
    </xf>
  </cellXfs>
  <cellStyles count="2">
    <cellStyle name="Moeda" xfId="1" builtinId="4"/>
    <cellStyle name="Normal" xfId="0" builtinId="0"/>
  </cellStyles>
  <dxfs count="58"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u/>
      </font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Entradas Faturadas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10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2.507122507122507E-2"/>
          <c:y val="0.19348477154029606"/>
          <c:w val="0.93335955839855944"/>
          <c:h val="0.59491664880432327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Pt>
            <c:idx val="2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F30-4D45-B7C4-19F6DADF70F1}"/>
              </c:ext>
            </c:extLst>
          </c:dPt>
          <c:dPt>
            <c:idx val="3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CFD-4CEE-BA24-E3929CBD645A}"/>
              </c:ext>
            </c:extLst>
          </c:dPt>
          <c:dPt>
            <c:idx val="15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F30-4D45-B7C4-19F6DADF70F1}"/>
              </c:ext>
            </c:extLst>
          </c:dPt>
          <c:dPt>
            <c:idx val="16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FD-4CEE-BA24-E3929CBD645A}"/>
              </c:ext>
            </c:extLst>
          </c:dPt>
          <c:dLbls>
            <c:dLbl>
              <c:idx val="3"/>
              <c:layout>
                <c:manualLayout>
                  <c:x val="-5.9696536826701972E-2"/>
                  <c:y val="-1.5555309107488325E-2"/>
                </c:manualLayout>
              </c:layout>
              <c:spPr>
                <a:solidFill>
                  <a:srgbClr val="156082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0377358490566031E-2"/>
                      <c:h val="4.88223801146526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CFD-4CEE-BA24-E3929CBD645A}"/>
                </c:ext>
              </c:extLst>
            </c:dLbl>
            <c:dLbl>
              <c:idx val="16"/>
              <c:layout>
                <c:manualLayout>
                  <c:x val="-4.6264487956704528E-2"/>
                  <c:y val="-5.446009389671361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CFD-4CEE-BA24-E3929CBD645A}"/>
                </c:ext>
              </c:extLst>
            </c:dLbl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TabelasDBase!$A$4:$A$26</c:f>
              <c:multiLvlStrCache>
                <c:ptCount val="20"/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TabelasDBase!$B$4:$B$26</c:f>
              <c:numCache>
                <c:formatCode>General</c:formatCode>
                <c:ptCount val="20"/>
                <c:pt idx="0">
                  <c:v>5000</c:v>
                </c:pt>
                <c:pt idx="1">
                  <c:v>9182</c:v>
                </c:pt>
                <c:pt idx="2">
                  <c:v>10782</c:v>
                </c:pt>
                <c:pt idx="3">
                  <c:v>28789</c:v>
                </c:pt>
                <c:pt idx="4">
                  <c:v>25418</c:v>
                </c:pt>
                <c:pt idx="5">
                  <c:v>77376</c:v>
                </c:pt>
                <c:pt idx="6">
                  <c:v>132736</c:v>
                </c:pt>
                <c:pt idx="7">
                  <c:v>65542</c:v>
                </c:pt>
                <c:pt idx="8">
                  <c:v>126644</c:v>
                </c:pt>
                <c:pt idx="9">
                  <c:v>77619</c:v>
                </c:pt>
                <c:pt idx="10">
                  <c:v>128573</c:v>
                </c:pt>
                <c:pt idx="11">
                  <c:v>109285</c:v>
                </c:pt>
                <c:pt idx="12">
                  <c:v>118610</c:v>
                </c:pt>
                <c:pt idx="13">
                  <c:v>98061</c:v>
                </c:pt>
                <c:pt idx="14">
                  <c:v>68443</c:v>
                </c:pt>
                <c:pt idx="15">
                  <c:v>52590</c:v>
                </c:pt>
                <c:pt idx="16">
                  <c:v>37825</c:v>
                </c:pt>
                <c:pt idx="17">
                  <c:v>38252</c:v>
                </c:pt>
                <c:pt idx="18">
                  <c:v>15277</c:v>
                </c:pt>
                <c:pt idx="19">
                  <c:v>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30-4D45-B7C4-19F6DADF70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37830720"/>
        <c:axId val="237829056"/>
      </c:lineChart>
      <c:catAx>
        <c:axId val="2378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7829056"/>
        <c:crosses val="autoZero"/>
        <c:auto val="1"/>
        <c:lblAlgn val="ctr"/>
        <c:lblOffset val="100"/>
        <c:noMultiLvlLbl val="0"/>
      </c:catAx>
      <c:valAx>
        <c:axId val="23782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78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SAÍDAS FATURADAS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061429119112921E-2"/>
          <c:y val="0.31648934127136547"/>
          <c:w val="0.93491592202660068"/>
          <c:h val="0.39374741729073875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TabelasDBase!$E$3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TabelasDBase!$D$4:$D$24</c:f>
              <c:multiLvlStrCache>
                <c:ptCount val="18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</c:lvl>
                <c:lvl>
                  <c:pt idx="0">
                    <c:v>2023</c:v>
                  </c:pt>
                  <c:pt idx="9">
                    <c:v>2024</c:v>
                  </c:pt>
                </c:lvl>
              </c:multiLvlStrCache>
            </c:multiLvlStrRef>
          </c:cat>
          <c:val>
            <c:numRef>
              <c:f>TabelasDBase!$E$4:$E$24</c:f>
              <c:numCache>
                <c:formatCode>General</c:formatCode>
                <c:ptCount val="18"/>
                <c:pt idx="0">
                  <c:v>7447</c:v>
                </c:pt>
                <c:pt idx="1">
                  <c:v>31800</c:v>
                </c:pt>
                <c:pt idx="2">
                  <c:v>41699</c:v>
                </c:pt>
                <c:pt idx="3">
                  <c:v>23248</c:v>
                </c:pt>
                <c:pt idx="4">
                  <c:v>72379</c:v>
                </c:pt>
                <c:pt idx="5">
                  <c:v>109893</c:v>
                </c:pt>
                <c:pt idx="6">
                  <c:v>106854</c:v>
                </c:pt>
                <c:pt idx="7">
                  <c:v>98631</c:v>
                </c:pt>
                <c:pt idx="8">
                  <c:v>62987</c:v>
                </c:pt>
                <c:pt idx="9">
                  <c:v>68306</c:v>
                </c:pt>
                <c:pt idx="10">
                  <c:v>28054</c:v>
                </c:pt>
                <c:pt idx="11">
                  <c:v>44000</c:v>
                </c:pt>
                <c:pt idx="12">
                  <c:v>61363</c:v>
                </c:pt>
                <c:pt idx="13">
                  <c:v>45491</c:v>
                </c:pt>
                <c:pt idx="14">
                  <c:v>61428</c:v>
                </c:pt>
                <c:pt idx="15">
                  <c:v>33683</c:v>
                </c:pt>
                <c:pt idx="16">
                  <c:v>3772</c:v>
                </c:pt>
                <c:pt idx="17">
                  <c:v>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F-4963-85BE-64A7D4ABEB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49645888"/>
        <c:axId val="249646304"/>
      </c:lineChart>
      <c:catAx>
        <c:axId val="24964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646304"/>
        <c:crosses val="autoZero"/>
        <c:auto val="1"/>
        <c:lblAlgn val="ctr"/>
        <c:lblOffset val="100"/>
        <c:noMultiLvlLbl val="0"/>
      </c:catAx>
      <c:valAx>
        <c:axId val="249646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964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ESTORNOS FATURADOS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442451420029897E-2"/>
          <c:y val="0.23981220657276994"/>
          <c:w val="0.94319880418535129"/>
          <c:h val="0.51044422264118394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TabelasDBase!$H$3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TabelasDBase!$G$4:$G$23</c:f>
              <c:multiLvlStrCache>
                <c:ptCount val="17"/>
                <c:lvl>
                  <c:pt idx="0">
                    <c:v>5</c:v>
                  </c:pt>
                  <c:pt idx="1">
                    <c:v>6</c:v>
                  </c:pt>
                  <c:pt idx="2">
                    <c:v>7</c:v>
                  </c:pt>
                  <c:pt idx="3">
                    <c:v>8</c:v>
                  </c:pt>
                  <c:pt idx="4">
                    <c:v>9</c:v>
                  </c:pt>
                  <c:pt idx="5">
                    <c:v>10</c:v>
                  </c:pt>
                  <c:pt idx="6">
                    <c:v>11</c:v>
                  </c:pt>
                  <c:pt idx="7">
                    <c:v>12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5</c:v>
                  </c:pt>
                  <c:pt idx="13">
                    <c:v>6</c:v>
                  </c:pt>
                  <c:pt idx="14">
                    <c:v>7</c:v>
                  </c:pt>
                  <c:pt idx="15">
                    <c:v>8</c:v>
                  </c:pt>
                  <c:pt idx="16">
                    <c:v>9</c:v>
                  </c:pt>
                </c:lvl>
                <c:lvl>
                  <c:pt idx="0">
                    <c:v>2023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TabelasDBase!$H$4:$H$23</c:f>
              <c:numCache>
                <c:formatCode>General</c:formatCode>
                <c:ptCount val="17"/>
                <c:pt idx="0">
                  <c:v>16086</c:v>
                </c:pt>
                <c:pt idx="1">
                  <c:v>10968</c:v>
                </c:pt>
                <c:pt idx="2">
                  <c:v>30548</c:v>
                </c:pt>
                <c:pt idx="3">
                  <c:v>34785</c:v>
                </c:pt>
                <c:pt idx="4">
                  <c:v>40458</c:v>
                </c:pt>
                <c:pt idx="5">
                  <c:v>43622</c:v>
                </c:pt>
                <c:pt idx="6">
                  <c:v>3794</c:v>
                </c:pt>
                <c:pt idx="7">
                  <c:v>26444</c:v>
                </c:pt>
                <c:pt idx="8">
                  <c:v>21286</c:v>
                </c:pt>
                <c:pt idx="9">
                  <c:v>31971</c:v>
                </c:pt>
                <c:pt idx="10">
                  <c:v>56516</c:v>
                </c:pt>
                <c:pt idx="11">
                  <c:v>31839</c:v>
                </c:pt>
                <c:pt idx="12">
                  <c:v>37993</c:v>
                </c:pt>
                <c:pt idx="13">
                  <c:v>22264</c:v>
                </c:pt>
                <c:pt idx="14">
                  <c:v>27054</c:v>
                </c:pt>
                <c:pt idx="15">
                  <c:v>25002</c:v>
                </c:pt>
                <c:pt idx="16">
                  <c:v>12432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A-4FF5-8FCA-12D96D13ACB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46704672"/>
        <c:axId val="246702176"/>
      </c:lineChart>
      <c:catAx>
        <c:axId val="24670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702176"/>
        <c:crosses val="autoZero"/>
        <c:auto val="1"/>
        <c:lblAlgn val="ctr"/>
        <c:lblOffset val="100"/>
        <c:noMultiLvlLbl val="0"/>
      </c:catAx>
      <c:valAx>
        <c:axId val="246702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670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dinâmica4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TOP 5 - CLIENTES ENTRADA -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TabelasDBase!$B$65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156082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TabelasDBase!$A$66:$A$71</c:f>
              <c:strCache>
                <c:ptCount val="5"/>
                <c:pt idx="0">
                  <c:v>QuantumStream Corp.</c:v>
                </c:pt>
                <c:pt idx="1">
                  <c:v>BrightWave Technologies</c:v>
                </c:pt>
                <c:pt idx="2">
                  <c:v>HorizonEcho Group</c:v>
                </c:pt>
                <c:pt idx="3">
                  <c:v>NovaSphere Industries</c:v>
                </c:pt>
                <c:pt idx="4">
                  <c:v>FusionPeak Technologies</c:v>
                </c:pt>
              </c:strCache>
            </c:strRef>
          </c:cat>
          <c:val>
            <c:numRef>
              <c:f>TabelasDBase!$B$66:$B$71</c:f>
              <c:numCache>
                <c:formatCode>General</c:formatCode>
                <c:ptCount val="5"/>
                <c:pt idx="0">
                  <c:v>65562</c:v>
                </c:pt>
                <c:pt idx="1">
                  <c:v>72943</c:v>
                </c:pt>
                <c:pt idx="2">
                  <c:v>86461</c:v>
                </c:pt>
                <c:pt idx="3">
                  <c:v>87952</c:v>
                </c:pt>
                <c:pt idx="4">
                  <c:v>102315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334-9215-CED0A91876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2139169824"/>
        <c:axId val="186385344"/>
      </c:barChart>
      <c:catAx>
        <c:axId val="2139169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385344"/>
        <c:crosses val="autoZero"/>
        <c:auto val="1"/>
        <c:lblAlgn val="ctr"/>
        <c:lblOffset val="100"/>
        <c:noMultiLvlLbl val="0"/>
      </c:catAx>
      <c:valAx>
        <c:axId val="1863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16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dinâmica5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TOP 5 - CLIENTES SAÍDAS -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TabelasDBase!$E$65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156082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TabelasDBase!$D$66:$D$71</c:f>
              <c:strCache>
                <c:ptCount val="5"/>
                <c:pt idx="0">
                  <c:v>CyberLink Corporation</c:v>
                </c:pt>
                <c:pt idx="1">
                  <c:v>CrimsonCrest Dynamics</c:v>
                </c:pt>
                <c:pt idx="2">
                  <c:v>LuminaCore Systems</c:v>
                </c:pt>
                <c:pt idx="3">
                  <c:v>BlueWave Networks</c:v>
                </c:pt>
                <c:pt idx="4">
                  <c:v>ZenithStream Technologies</c:v>
                </c:pt>
              </c:strCache>
            </c:strRef>
          </c:cat>
          <c:val>
            <c:numRef>
              <c:f>TabelasDBase!$E$66:$E$71</c:f>
              <c:numCache>
                <c:formatCode>General</c:formatCode>
                <c:ptCount val="5"/>
                <c:pt idx="0">
                  <c:v>69489</c:v>
                </c:pt>
                <c:pt idx="1">
                  <c:v>69747</c:v>
                </c:pt>
                <c:pt idx="2">
                  <c:v>70517</c:v>
                </c:pt>
                <c:pt idx="3">
                  <c:v>71043</c:v>
                </c:pt>
                <c:pt idx="4">
                  <c:v>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B-49EB-B88B-725B55D63B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2139437664"/>
        <c:axId val="2139440576"/>
      </c:barChart>
      <c:catAx>
        <c:axId val="213943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440576"/>
        <c:crosses val="autoZero"/>
        <c:auto val="1"/>
        <c:lblAlgn val="ctr"/>
        <c:lblOffset val="100"/>
        <c:noMultiLvlLbl val="0"/>
      </c:catAx>
      <c:valAx>
        <c:axId val="213944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4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SALDO Total FATURADO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7081874258140031E-17"/>
              <c:y val="-3.94736842105263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-3.94736842105263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-3.50877192982456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31319250712109E-2"/>
          <c:y val="0.11894064262375366"/>
          <c:w val="0.87694760377175074"/>
          <c:h val="0.8130612244897959"/>
        </c:manualLayout>
      </c:layout>
      <c:areaChart>
        <c:grouping val="standard"/>
        <c:varyColors val="0"/>
        <c:ser>
          <c:idx val="0"/>
          <c:order val="0"/>
          <c:tx>
            <c:strRef>
              <c:f>TabelasDBase!$B$104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dist="381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5-566C-4E00-BA5F-16BE77B695C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566C-4E00-BA5F-16BE77B695C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7-566C-4E00-BA5F-16BE77B695C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E4BC-473C-94DB-02AC653327A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C488-41A4-B07E-E99356E08FA3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1-E4BC-473C-94DB-02AC653327A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C488-41A4-B07E-E99356E08FA3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2-E4BC-473C-94DB-02AC653327A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8-C488-41A4-B07E-E99356E08FA3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03-E4BC-473C-94DB-02AC653327A1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0A-C488-41A4-B07E-E99356E08FA3}"/>
              </c:ext>
            </c:extLst>
          </c:dPt>
          <c:dLbls>
            <c:dLbl>
              <c:idx val="1"/>
              <c:layout>
                <c:manualLayout>
                  <c:x val="-1.7081874258140031E-17"/>
                  <c:y val="-3.94736842105263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6C-4E00-BA5F-16BE77B695C0}"/>
                </c:ext>
              </c:extLst>
            </c:dLbl>
            <c:dLbl>
              <c:idx val="2"/>
              <c:layout>
                <c:manualLayout>
                  <c:x val="0"/>
                  <c:y val="-3.94736842105263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6C-4E00-BA5F-16BE77B695C0}"/>
                </c:ext>
              </c:extLst>
            </c:dLbl>
            <c:dLbl>
              <c:idx val="3"/>
              <c:layout>
                <c:manualLayout>
                  <c:x val="0"/>
                  <c:y val="-3.50877192982456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C-473C-94DB-02AC653327A1}"/>
                </c:ext>
              </c:extLst>
            </c:dLbl>
            <c:dLbl>
              <c:idx val="4"/>
              <c:layout>
                <c:manualLayout>
                  <c:x val="0"/>
                  <c:y val="0.11508841843819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8-41A4-B07E-E99356E08FA3}"/>
                </c:ext>
              </c:extLst>
            </c:dLbl>
            <c:dLbl>
              <c:idx val="7"/>
              <c:layout>
                <c:manualLayout>
                  <c:x val="-1.0573733552281647E-3"/>
                  <c:y val="9.17783865713659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8-41A4-B07E-E99356E08FA3}"/>
                </c:ext>
              </c:extLst>
            </c:dLbl>
            <c:dLbl>
              <c:idx val="9"/>
              <c:layout>
                <c:manualLayout>
                  <c:x val="0"/>
                  <c:y val="8.4571365222680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88-41A4-B07E-E99356E08FA3}"/>
                </c:ext>
              </c:extLst>
            </c:dLbl>
            <c:dLbl>
              <c:idx val="16"/>
              <c:layout>
                <c:manualLayout>
                  <c:x val="-1.4410707185496471E-16"/>
                  <c:y val="0.125899501091900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88-41A4-B07E-E99356E08F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TabelasDBase!$A$105:$A$127</c:f>
              <c:multiLvlStrCache>
                <c:ptCount val="20"/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TabelasDBase!$B$105:$B$127</c:f>
              <c:numCache>
                <c:formatCode>General</c:formatCode>
                <c:ptCount val="20"/>
                <c:pt idx="0">
                  <c:v>5000</c:v>
                </c:pt>
                <c:pt idx="1">
                  <c:v>9182</c:v>
                </c:pt>
                <c:pt idx="2">
                  <c:v>3335</c:v>
                </c:pt>
                <c:pt idx="3">
                  <c:v>13075</c:v>
                </c:pt>
                <c:pt idx="4">
                  <c:v>-5313</c:v>
                </c:pt>
                <c:pt idx="5">
                  <c:v>84676</c:v>
                </c:pt>
                <c:pt idx="6">
                  <c:v>95142</c:v>
                </c:pt>
                <c:pt idx="7">
                  <c:v>-3893</c:v>
                </c:pt>
                <c:pt idx="8">
                  <c:v>63412</c:v>
                </c:pt>
                <c:pt idx="9">
                  <c:v>-17218</c:v>
                </c:pt>
                <c:pt idx="10">
                  <c:v>92030</c:v>
                </c:pt>
                <c:pt idx="11">
                  <c:v>62265</c:v>
                </c:pt>
                <c:pt idx="12">
                  <c:v>122527</c:v>
                </c:pt>
                <c:pt idx="13">
                  <c:v>110577</c:v>
                </c:pt>
                <c:pt idx="14">
                  <c:v>38919</c:v>
                </c:pt>
                <c:pt idx="15">
                  <c:v>45092</c:v>
                </c:pt>
                <c:pt idx="16">
                  <c:v>-1339</c:v>
                </c:pt>
                <c:pt idx="17">
                  <c:v>31623</c:v>
                </c:pt>
                <c:pt idx="18">
                  <c:v>36507</c:v>
                </c:pt>
                <c:pt idx="19">
                  <c:v>12805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BC-473C-94DB-02AC653327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242327872"/>
        <c:axId val="242314560"/>
      </c:areaChart>
      <c:catAx>
        <c:axId val="24232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314560"/>
        <c:crosses val="autoZero"/>
        <c:auto val="1"/>
        <c:lblAlgn val="ctr"/>
        <c:lblOffset val="100"/>
        <c:noMultiLvlLbl val="0"/>
      </c:catAx>
      <c:valAx>
        <c:axId val="242314560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  <a:alpha val="2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32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1</xdr:row>
      <xdr:rowOff>85725</xdr:rowOff>
    </xdr:from>
    <xdr:ext cx="10601326" cy="1000125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853753D-9564-4BAC-B932-2EFCC84AA908}"/>
            </a:ext>
          </a:extLst>
        </xdr:cNvPr>
        <xdr:cNvSpPr txBox="1"/>
      </xdr:nvSpPr>
      <xdr:spPr>
        <a:xfrm>
          <a:off x="323850" y="266700"/>
          <a:ext cx="10601326" cy="1000125"/>
        </a:xfrm>
        <a:prstGeom prst="rect">
          <a:avLst/>
        </a:prstGeom>
        <a:solidFill>
          <a:srgbClr val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6200" b="1">
              <a:solidFill>
                <a:schemeClr val="accent1"/>
              </a:solidFill>
              <a:latin typeface="Century Gothic" panose="020B0502020202020204" pitchFamily="34" charset="0"/>
            </a:rPr>
            <a:t>DASHBOARD</a:t>
          </a:r>
          <a:r>
            <a:rPr lang="pt-BR" sz="6200" b="1" baseline="0">
              <a:solidFill>
                <a:schemeClr val="accent1"/>
              </a:solidFill>
              <a:latin typeface="Century Gothic" panose="020B0502020202020204" pitchFamily="34" charset="0"/>
            </a:rPr>
            <a:t> FINANCEIRO</a:t>
          </a:r>
          <a:endParaRPr lang="pt-BR" sz="6200" b="1">
            <a:solidFill>
              <a:schemeClr val="accent1"/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17</xdr:col>
      <xdr:colOff>422677</xdr:colOff>
      <xdr:row>1</xdr:row>
      <xdr:rowOff>52897</xdr:rowOff>
    </xdr:from>
    <xdr:to>
      <xdr:col>19</xdr:col>
      <xdr:colOff>190501</xdr:colOff>
      <xdr:row>6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C0231CC-A3C0-45E5-B9D0-D3F41F22F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402" y="233872"/>
          <a:ext cx="1139424" cy="1042478"/>
        </a:xfrm>
        <a:prstGeom prst="rect">
          <a:avLst/>
        </a:prstGeom>
      </xdr:spPr>
    </xdr:pic>
    <xdr:clientData/>
  </xdr:twoCellAnchor>
  <xdr:twoCellAnchor editAs="oneCell">
    <xdr:from>
      <xdr:col>16</xdr:col>
      <xdr:colOff>780898</xdr:colOff>
      <xdr:row>7</xdr:row>
      <xdr:rowOff>114300</xdr:rowOff>
    </xdr:from>
    <xdr:to>
      <xdr:col>19</xdr:col>
      <xdr:colOff>314174</xdr:colOff>
      <xdr:row>12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° NOTA FISCAL">
              <a:extLst>
                <a:ext uri="{FF2B5EF4-FFF2-40B4-BE49-F238E27FC236}">
                  <a16:creationId xmlns:a16="http://schemas.microsoft.com/office/drawing/2014/main" id="{CDF1D718-4141-4B63-8650-6D134C432E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° NOTA 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53698" y="1447800"/>
              <a:ext cx="2590801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657225</xdr:colOff>
      <xdr:row>7</xdr:row>
      <xdr:rowOff>123823</xdr:rowOff>
    </xdr:from>
    <xdr:to>
      <xdr:col>16</xdr:col>
      <xdr:colOff>552301</xdr:colOff>
      <xdr:row>12</xdr:row>
      <xdr:rowOff>114299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MISSOR">
              <a:extLst>
                <a:ext uri="{FF2B5EF4-FFF2-40B4-BE49-F238E27FC236}">
                  <a16:creationId xmlns:a16="http://schemas.microsoft.com/office/drawing/2014/main" id="{A8726688-8CDE-4536-8A4B-180EBC2F8A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IS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86825" y="1457323"/>
              <a:ext cx="2638276" cy="8953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495299</xdr:colOff>
      <xdr:row>7</xdr:row>
      <xdr:rowOff>114301</xdr:rowOff>
    </xdr:from>
    <xdr:to>
      <xdr:col>8</xdr:col>
      <xdr:colOff>114150</xdr:colOff>
      <xdr:row>12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CAF474DC-B422-4640-8A04-E041A7F6B4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499" y="1447801"/>
              <a:ext cx="2362051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123825</xdr:colOff>
      <xdr:row>7</xdr:row>
      <xdr:rowOff>122249</xdr:rowOff>
    </xdr:from>
    <xdr:to>
      <xdr:col>4</xdr:col>
      <xdr:colOff>237975</xdr:colOff>
      <xdr:row>12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NO">
              <a:extLst>
                <a:ext uri="{FF2B5EF4-FFF2-40B4-BE49-F238E27FC236}">
                  <a16:creationId xmlns:a16="http://schemas.microsoft.com/office/drawing/2014/main" id="{05AF8059-877B-4FD8-A505-3A5B93ECAD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25" y="1455749"/>
              <a:ext cx="2171550" cy="94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409573</xdr:colOff>
      <xdr:row>7</xdr:row>
      <xdr:rowOff>114301</xdr:rowOff>
    </xdr:from>
    <xdr:to>
      <xdr:col>12</xdr:col>
      <xdr:colOff>304650</xdr:colOff>
      <xdr:row>12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PAGAMENTO">
              <a:extLst>
                <a:ext uri="{FF2B5EF4-FFF2-40B4-BE49-F238E27FC236}">
                  <a16:creationId xmlns:a16="http://schemas.microsoft.com/office/drawing/2014/main" id="{0D21444E-CC98-4904-9982-7208FCCB2A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95973" y="1447801"/>
              <a:ext cx="2638277" cy="923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400050</xdr:colOff>
      <xdr:row>13</xdr:row>
      <xdr:rowOff>171450</xdr:rowOff>
    </xdr:from>
    <xdr:to>
      <xdr:col>19</xdr:col>
      <xdr:colOff>323851</xdr:colOff>
      <xdr:row>25</xdr:row>
      <xdr:rowOff>85725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6ECC20A-EE3C-4430-BDCB-DC6D17200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381000</xdr:colOff>
      <xdr:row>27</xdr:row>
      <xdr:rowOff>28575</xdr:rowOff>
    </xdr:from>
    <xdr:to>
      <xdr:col>19</xdr:col>
      <xdr:colOff>314325</xdr:colOff>
      <xdr:row>37</xdr:row>
      <xdr:rowOff>171450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95CD821-D754-4740-A47F-3DA6FA8B7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390526</xdr:colOff>
      <xdr:row>39</xdr:row>
      <xdr:rowOff>95249</xdr:rowOff>
    </xdr:from>
    <xdr:to>
      <xdr:col>19</xdr:col>
      <xdr:colOff>342901</xdr:colOff>
      <xdr:row>50</xdr:row>
      <xdr:rowOff>133349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55E4855-6297-4B5F-8993-52A690FC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14</xdr:row>
      <xdr:rowOff>1</xdr:rowOff>
    </xdr:from>
    <xdr:to>
      <xdr:col>8</xdr:col>
      <xdr:colOff>95250</xdr:colOff>
      <xdr:row>31</xdr:row>
      <xdr:rowOff>76200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DF530A2-0A9B-4663-8DB5-F1569E9A4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76199</xdr:colOff>
      <xdr:row>33</xdr:row>
      <xdr:rowOff>19049</xdr:rowOff>
    </xdr:from>
    <xdr:to>
      <xdr:col>8</xdr:col>
      <xdr:colOff>104775</xdr:colOff>
      <xdr:row>50</xdr:row>
      <xdr:rowOff>104775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F88A07A-8917-431D-88E8-E13150A44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66675</xdr:colOff>
      <xdr:row>52</xdr:row>
      <xdr:rowOff>38100</xdr:rowOff>
    </xdr:from>
    <xdr:to>
      <xdr:col>19</xdr:col>
      <xdr:colOff>352425</xdr:colOff>
      <xdr:row>68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9CF3717-84C5-4A9C-A997-91625DD25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18</xdr:col>
      <xdr:colOff>601739</xdr:colOff>
      <xdr:row>23</xdr:row>
      <xdr:rowOff>0</xdr:rowOff>
    </xdr:from>
    <xdr:ext cx="408252" cy="405367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A704F10-1820-40E5-B643-76171A3147C3}"/>
            </a:ext>
          </a:extLst>
        </xdr:cNvPr>
        <xdr:cNvSpPr txBox="1"/>
      </xdr:nvSpPr>
      <xdr:spPr>
        <a:xfrm>
          <a:off x="13946264" y="4276725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600075</xdr:colOff>
      <xdr:row>34</xdr:row>
      <xdr:rowOff>171450</xdr:rowOff>
    </xdr:from>
    <xdr:ext cx="408252" cy="40536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BD074462-414A-4FA0-9D6A-E08AFEEA08AB}"/>
            </a:ext>
          </a:extLst>
        </xdr:cNvPr>
        <xdr:cNvSpPr txBox="1"/>
      </xdr:nvSpPr>
      <xdr:spPr>
        <a:xfrm>
          <a:off x="13944600" y="6438900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638175</xdr:colOff>
      <xdr:row>48</xdr:row>
      <xdr:rowOff>38100</xdr:rowOff>
    </xdr:from>
    <xdr:ext cx="408252" cy="405367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A7812790-24FE-4253-91CB-0FF05EA7E952}"/>
            </a:ext>
          </a:extLst>
        </xdr:cNvPr>
        <xdr:cNvSpPr txBox="1"/>
      </xdr:nvSpPr>
      <xdr:spPr>
        <a:xfrm>
          <a:off x="13982700" y="8839200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552450</xdr:colOff>
      <xdr:row>64</xdr:row>
      <xdr:rowOff>19050</xdr:rowOff>
    </xdr:from>
    <xdr:ext cx="408252" cy="56188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6ADAB65B-E460-4F76-B262-1C85BAE250FD}"/>
            </a:ext>
          </a:extLst>
        </xdr:cNvPr>
        <xdr:cNvSpPr txBox="1"/>
      </xdr:nvSpPr>
      <xdr:spPr>
        <a:xfrm>
          <a:off x="13896975" y="11715750"/>
          <a:ext cx="408252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endParaRPr lang="pt-BR" sz="1000"/>
        </a:p>
        <a:p>
          <a:pPr algn="ctr"/>
          <a:r>
            <a:rPr lang="pt-BR" sz="1000"/>
            <a:t>Ano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12</xdr:row>
      <xdr:rowOff>171450</xdr:rowOff>
    </xdr:from>
    <xdr:to>
      <xdr:col>3</xdr:col>
      <xdr:colOff>180975</xdr:colOff>
      <xdr:row>16</xdr:row>
      <xdr:rowOff>95249</xdr:rowOff>
    </xdr:to>
    <xdr:sp macro="[0]!PreencherParcel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EB736B3-5032-4D25-B67E-63862C548A16}"/>
            </a:ext>
          </a:extLst>
        </xdr:cNvPr>
        <xdr:cNvSpPr/>
      </xdr:nvSpPr>
      <xdr:spPr>
        <a:xfrm>
          <a:off x="819150" y="2409825"/>
          <a:ext cx="2524125" cy="647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 Parcelas</a:t>
          </a: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 Datas de Pagamento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133350</xdr:colOff>
      <xdr:row>8</xdr:row>
      <xdr:rowOff>66676</xdr:rowOff>
    </xdr:from>
    <xdr:to>
      <xdr:col>3</xdr:col>
      <xdr:colOff>180975</xdr:colOff>
      <xdr:row>11</xdr:row>
      <xdr:rowOff>123825</xdr:rowOff>
    </xdr:to>
    <xdr:sp macro="[0]!ShowLancame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E8C9C49-1064-49AF-85F8-C3073ABA3925}"/>
            </a:ext>
          </a:extLst>
        </xdr:cNvPr>
        <xdr:cNvSpPr/>
      </xdr:nvSpPr>
      <xdr:spPr>
        <a:xfrm>
          <a:off x="819150" y="1581151"/>
          <a:ext cx="2524125" cy="6000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Adicionar Fatura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oneCellAnchor>
    <xdr:from>
      <xdr:col>0</xdr:col>
      <xdr:colOff>666750</xdr:colOff>
      <xdr:row>1</xdr:row>
      <xdr:rowOff>104775</xdr:rowOff>
    </xdr:from>
    <xdr:ext cx="7867650" cy="100012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70C6A57-8F50-4A55-A6A1-5DD1F4A9260C}"/>
            </a:ext>
          </a:extLst>
        </xdr:cNvPr>
        <xdr:cNvSpPr txBox="1"/>
      </xdr:nvSpPr>
      <xdr:spPr>
        <a:xfrm>
          <a:off x="666750" y="285750"/>
          <a:ext cx="7867650" cy="1000125"/>
        </a:xfrm>
        <a:prstGeom prst="rect">
          <a:avLst/>
        </a:prstGeom>
        <a:solidFill>
          <a:srgbClr val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6200" b="1" baseline="0">
              <a:solidFill>
                <a:schemeClr val="accent1"/>
              </a:solidFill>
              <a:latin typeface="Century Gothic" panose="020B0502020202020204" pitchFamily="34" charset="0"/>
            </a:rPr>
            <a:t>PAINEL FINANCEIRO</a:t>
          </a:r>
          <a:endParaRPr lang="pt-BR" sz="6200" b="1">
            <a:solidFill>
              <a:schemeClr val="accent1"/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285750</xdr:colOff>
      <xdr:row>1</xdr:row>
      <xdr:rowOff>95250</xdr:rowOff>
    </xdr:from>
    <xdr:to>
      <xdr:col>11</xdr:col>
      <xdr:colOff>53574</xdr:colOff>
      <xdr:row>6</xdr:row>
      <xdr:rowOff>118553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118FC30-DD6D-4FBA-9D45-C50E9741D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4700" y="276225"/>
          <a:ext cx="1139424" cy="1042478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8</xdr:row>
      <xdr:rowOff>66675</xdr:rowOff>
    </xdr:from>
    <xdr:to>
      <xdr:col>5</xdr:col>
      <xdr:colOff>495300</xdr:colOff>
      <xdr:row>11</xdr:row>
      <xdr:rowOff>123825</xdr:rowOff>
    </xdr:to>
    <xdr:sp macro="[0]!ConverterSaidaParaNegativ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BCDAA75-EEC6-4C12-8980-8B5D947A7AAE}"/>
            </a:ext>
          </a:extLst>
        </xdr:cNvPr>
        <xdr:cNvSpPr/>
      </xdr:nvSpPr>
      <xdr:spPr>
        <a:xfrm>
          <a:off x="3733800" y="162877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 Saldo Faturado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552450</xdr:colOff>
      <xdr:row>13</xdr:row>
      <xdr:rowOff>0</xdr:rowOff>
    </xdr:from>
    <xdr:to>
      <xdr:col>5</xdr:col>
      <xdr:colOff>476250</xdr:colOff>
      <xdr:row>16</xdr:row>
      <xdr:rowOff>57150</xdr:rowOff>
    </xdr:to>
    <xdr:sp macro="[0]!AtualizarDashbo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F2E4890-C172-475A-9A79-3426CBB1E7DA}"/>
            </a:ext>
          </a:extLst>
        </xdr:cNvPr>
        <xdr:cNvSpPr/>
      </xdr:nvSpPr>
      <xdr:spPr>
        <a:xfrm>
          <a:off x="3714750" y="246697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Atualização</a:t>
          </a: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Geral</a:t>
          </a:r>
          <a:endParaRPr lang="pt-BR" sz="1100"/>
        </a:p>
      </xdr:txBody>
    </xdr:sp>
    <xdr:clientData/>
  </xdr:twoCellAnchor>
  <xdr:twoCellAnchor>
    <xdr:from>
      <xdr:col>5</xdr:col>
      <xdr:colOff>923925</xdr:colOff>
      <xdr:row>8</xdr:row>
      <xdr:rowOff>47625</xdr:rowOff>
    </xdr:from>
    <xdr:to>
      <xdr:col>8</xdr:col>
      <xdr:colOff>161925</xdr:colOff>
      <xdr:row>11</xdr:row>
      <xdr:rowOff>104775</xdr:rowOff>
    </xdr:to>
    <xdr:sp macro="[0]!EnviarResumoDashboard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3ECCCD9-63C2-4366-8131-7BE47655BE63}"/>
            </a:ext>
          </a:extLst>
        </xdr:cNvPr>
        <xdr:cNvSpPr/>
      </xdr:nvSpPr>
      <xdr:spPr>
        <a:xfrm>
          <a:off x="6686550" y="160972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Enviar Relatório por Email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914400</xdr:colOff>
      <xdr:row>12</xdr:row>
      <xdr:rowOff>161925</xdr:rowOff>
    </xdr:from>
    <xdr:to>
      <xdr:col>8</xdr:col>
      <xdr:colOff>152400</xdr:colOff>
      <xdr:row>16</xdr:row>
      <xdr:rowOff>38100</xdr:rowOff>
    </xdr:to>
    <xdr:sp macro="[0]!ImportarCamposDoXMLParaBAS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11E2220-5230-4109-96F4-BCDD22557972}"/>
            </a:ext>
          </a:extLst>
        </xdr:cNvPr>
        <xdr:cNvSpPr/>
      </xdr:nvSpPr>
      <xdr:spPr>
        <a:xfrm>
          <a:off x="6677025" y="244792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Importar XML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ngton Junio" refreshedDate="45782.50186261574" createdVersion="7" refreshedVersion="7" minRefreshableVersion="3" recordCount="500" xr:uid="{47A5F7D4-DA65-45FA-8187-51CFE9A80FD8}">
  <cacheSource type="worksheet">
    <worksheetSource name="Tabela1"/>
  </cacheSource>
  <cacheFields count="18">
    <cacheField name="N° NOTA FISCAL" numFmtId="0">
      <sharedItems containsMixedTypes="1" containsNumber="1" containsInteger="1" minValue="55555555" maxValue="111111111111" count="502">
        <n v="111111111111"/>
        <s v="44101109"/>
        <s v="9214109"/>
        <s v="27133159"/>
        <s v="670197"/>
        <s v="76149193"/>
        <s v="3913638"/>
        <s v="97107228"/>
        <s v="6410648"/>
        <s v="7654233"/>
        <s v="1414734"/>
        <s v="648161"/>
        <s v="2213748"/>
        <s v="1023235"/>
        <s v="676859"/>
        <s v="3312978"/>
        <s v="644941"/>
        <s v="95143197"/>
        <s v="10081180"/>
        <s v="63193"/>
        <s v="3841113"/>
        <s v="27119245"/>
        <s v="4866227"/>
        <s v="5212318"/>
        <s v="471166"/>
        <s v="3122158"/>
        <s v="6936233"/>
        <s v="6555138"/>
        <s v="914118"/>
        <s v="6610263"/>
        <s v="535828"/>
        <s v="422865"/>
        <s v="94130169"/>
        <s v="2710416"/>
        <s v="151262"/>
        <s v="3710348"/>
        <s v="171063"/>
        <s v="95102140"/>
        <s v="7121249"/>
        <s v="8276221"/>
        <s v="8741236"/>
        <s v="10028157"/>
        <s v="68123137"/>
        <s v="152129"/>
        <s v="15114171"/>
        <s v="6544183"/>
        <s v="8679126"/>
        <s v="1113916"/>
        <s v="37122235"/>
        <s v="77644"/>
        <s v="8217192"/>
        <s v="117291"/>
        <s v="52463"/>
        <s v="123108"/>
        <s v="754310"/>
        <s v="7791167"/>
        <s v="607644"/>
        <s v="79105139"/>
        <s v="1839177"/>
        <s v="1591129"/>
        <s v="4733141"/>
        <s v="354578"/>
        <s v="60132167"/>
        <s v="9111424"/>
        <s v="8510552"/>
        <s v="7346196"/>
        <s v="4068245"/>
        <s v="322103"/>
        <s v="4512027"/>
        <s v="2497189"/>
        <s v="939197"/>
        <s v="8911711"/>
        <s v="313851"/>
        <s v="497243"/>
        <s v="532165"/>
        <s v="1759131"/>
        <s v="35111149"/>
        <s v="2028238"/>
        <s v="8746206"/>
        <s v="201011"/>
        <s v="74104229"/>
        <s v="39146219"/>
        <s v="2186128"/>
        <s v="468060"/>
        <s v="1910926"/>
        <s v="1959104"/>
        <s v="3877150"/>
        <s v="6641123"/>
        <s v="315539"/>
        <s v="9131147"/>
        <s v="7434236"/>
        <s v="3842155"/>
        <s v="33136192"/>
        <s v="1310947"/>
        <s v="6436221"/>
        <s v="8517139"/>
        <s v="6977148"/>
        <s v="8559110"/>
        <s v="83149247"/>
        <s v="95138144"/>
        <s v="9092126"/>
        <s v="6849113"/>
        <s v="16489"/>
        <s v="8213553"/>
        <s v="67538"/>
        <s v="1918114"/>
        <s v="7697221"/>
        <s v="1179228"/>
        <s v="286133"/>
        <s v="8652244"/>
        <s v="5781198"/>
        <s v="645775"/>
        <s v="7842125"/>
        <s v="2519139"/>
        <s v="2913460"/>
        <s v="186221"/>
        <s v="9114220"/>
        <s v="7946185"/>
        <s v="644186"/>
        <s v="185791"/>
        <s v="32283"/>
        <s v="171413"/>
        <s v="9488162"/>
        <s v="43112157"/>
        <s v="5034129"/>
        <s v="1121121"/>
        <s v="8147182"/>
        <s v="2113917"/>
        <s v="9170233"/>
        <s v="982798"/>
        <s v="88147120"/>
        <s v="6754168"/>
        <s v="97121196"/>
        <s v="91788"/>
        <s v="9822152"/>
        <s v="132220"/>
        <s v="8588203"/>
        <s v="5538165"/>
        <s v="7825163"/>
        <s v="69105126"/>
        <s v="7497194"/>
        <s v="61577"/>
        <s v="4698238"/>
        <s v="3066161"/>
        <s v="713027"/>
        <s v="18191"/>
        <s v="93136207"/>
        <s v="1667195"/>
        <s v="226152"/>
        <s v="6913013"/>
        <s v="20120141"/>
        <s v="564130"/>
        <s v="106912"/>
        <s v="3665246"/>
        <s v="2258154"/>
        <s v="2838139"/>
        <s v="7286108"/>
        <s v="19140231"/>
        <s v="1001062"/>
        <s v="894220"/>
        <s v="5829196"/>
        <s v="753074"/>
        <s v="3639128"/>
        <s v="542101"/>
        <s v="778514"/>
        <s v="2750196"/>
        <s v="8440216"/>
        <s v="15146178"/>
        <s v="10063112"/>
        <s v="51103250"/>
        <s v="588161"/>
        <s v="7913746"/>
        <s v="91110230"/>
        <s v="934218"/>
        <s v="66137145"/>
        <s v="57823"/>
        <s v="3411048"/>
        <s v="94109121"/>
        <s v="3850241"/>
        <s v="5580188"/>
        <s v="8964247"/>
        <s v="629594"/>
        <s v="3210360"/>
        <s v="2170202"/>
        <s v="644718"/>
        <s v="787119"/>
        <s v="5211210"/>
        <s v="4410640"/>
        <s v="39132213"/>
        <s v="952518"/>
        <s v="818660"/>
        <s v="710534"/>
        <s v="8778179"/>
        <s v="1247246"/>
        <s v="73111110"/>
        <s v="957959"/>
        <s v="193890"/>
        <s v="9875163"/>
        <s v="48148206"/>
        <s v="5396100"/>
        <s v="3362247"/>
        <s v="15125100"/>
        <s v="3113123"/>
        <s v="9043102"/>
        <s v="138511"/>
        <s v="8501"/>
        <s v="35146245"/>
        <s v="7397189"/>
        <s v="253743"/>
        <s v="7345174"/>
        <s v="797357"/>
        <s v="256010"/>
        <s v="5558215"/>
        <s v="2465227"/>
        <s v="33133224"/>
        <s v="74110"/>
        <s v="7850245"/>
        <s v="1859110"/>
        <s v="1778233"/>
        <s v="25140249"/>
        <s v="6021225"/>
        <s v="1814479"/>
        <s v="6712518"/>
        <s v="52767"/>
        <s v="6109247"/>
        <s v="743206"/>
        <s v="1672150"/>
        <s v="2412331"/>
        <s v="13144219"/>
        <s v="5711428"/>
        <s v="726943"/>
        <s v="5350202"/>
        <s v="1864118"/>
        <s v="232162"/>
        <s v="1114574"/>
        <s v="4143216"/>
        <s v="4110676"/>
        <s v="2128125"/>
        <s v="40149178"/>
        <s v="3712757"/>
        <s v="7103160"/>
        <s v="297967"/>
        <s v="30102206"/>
        <s v="2490245"/>
        <s v="121323"/>
        <s v="346752"/>
        <s v="413053"/>
        <s v="318786"/>
        <s v="197522"/>
        <s v="20111207"/>
        <s v="5511239"/>
        <s v="583817"/>
        <s v="366553"/>
        <s v="769526"/>
        <s v="972539"/>
        <s v="8451156"/>
        <s v="4738199"/>
        <s v="3011765"/>
        <s v="803266"/>
        <s v="5512918"/>
        <s v="818167"/>
        <s v="82107185"/>
        <s v="783100"/>
        <s v="7828186"/>
        <s v="764295"/>
        <s v="26120222"/>
        <s v="38144173"/>
        <s v="2011895"/>
        <s v="54137150"/>
        <s v="5110046"/>
        <s v="24131149"/>
        <s v="16121146"/>
        <s v="28519"/>
        <s v="6178158"/>
        <s v="379725"/>
        <s v="7176110"/>
        <s v="32126101"/>
        <s v="2843217"/>
        <s v="3412106"/>
        <s v="332566"/>
        <s v="52145124"/>
        <s v="402273"/>
        <s v="459414"/>
        <s v="8530209"/>
        <s v="8351175"/>
        <s v="302522"/>
        <s v="9913520"/>
        <s v="1212910"/>
        <s v="806206"/>
        <s v="8710160"/>
        <s v="22146121"/>
        <s v="245343"/>
        <s v="2654155"/>
        <s v="82134241"/>
        <s v="924128"/>
        <s v="746861"/>
        <s v="96106186"/>
        <s v="3080193"/>
        <s v="5312116"/>
        <s v="6463139"/>
        <s v="12146234"/>
        <s v="758694"/>
        <s v="4128136"/>
        <s v="351440"/>
        <s v="419914"/>
        <s v="893021"/>
        <s v="325596"/>
        <s v="6076244"/>
        <s v="61137172"/>
        <s v="2769183"/>
        <s v="6211014"/>
        <s v="7747226"/>
        <s v="252366"/>
        <s v="2568243"/>
        <s v="4067108"/>
        <s v="20148198"/>
        <s v="96114182"/>
        <s v="8532115"/>
        <s v="144843"/>
        <s v="5255136"/>
        <s v="51123105"/>
        <s v="6011474"/>
        <s v="32134162"/>
        <s v="2254171"/>
        <s v="939187"/>
        <s v="4093131"/>
        <s v="913332"/>
        <s v="2212229"/>
        <s v="12135177"/>
        <s v="511227"/>
        <s v="88125144"/>
        <s v="545512"/>
        <s v="7310572"/>
        <s v="2179119"/>
        <s v="8228195"/>
        <s v="7846137"/>
        <s v="958682"/>
        <s v="2611058"/>
        <s v="1363182"/>
        <s v="8713131"/>
        <s v="368093"/>
        <s v="80120226"/>
        <s v="98571"/>
        <s v="601372"/>
        <s v="1107132"/>
        <s v="337214"/>
        <s v="651469"/>
        <s v="1710191"/>
        <s v="29113155"/>
        <s v="21491"/>
        <s v="171669"/>
        <s v="30116195"/>
        <s v="78482"/>
        <s v="4620138"/>
        <s v="6938108"/>
        <s v="811941"/>
        <s v="951374"/>
        <s v="76138137"/>
        <s v="644256"/>
        <s v="1383104"/>
        <s v="6151225"/>
        <s v="37125213"/>
        <s v="64120219"/>
        <s v="9010100"/>
        <s v="9674130"/>
        <s v="66176"/>
        <s v="423255"/>
        <s v="8166192"/>
        <s v="33146185"/>
        <s v="308109"/>
        <s v="174957"/>
        <s v="1611479"/>
        <s v="37146159"/>
        <s v="42111201"/>
        <s v="31144110"/>
        <s v="4882105"/>
        <s v="76122"/>
        <s v="88127225"/>
        <s v="51125189"/>
        <s v="6730231"/>
        <s v="206214"/>
        <s v="50139145"/>
        <s v="31053"/>
        <s v="186928"/>
        <s v="62119221"/>
        <s v="29936"/>
        <s v="66107125"/>
        <s v="7461236"/>
        <s v="516352"/>
        <s v="72129196"/>
        <s v="4366136"/>
        <s v="7613818"/>
        <s v="9578114"/>
        <s v="56112220"/>
        <s v="695212"/>
        <s v="1411337"/>
        <s v="515344"/>
        <s v="233899"/>
        <s v="100133200"/>
        <s v="6443186"/>
        <s v="8129234"/>
        <s v="377330"/>
        <s v="9936137"/>
        <s v="708050"/>
        <s v="5012374"/>
        <s v="221841"/>
        <s v="91143"/>
        <s v="22114169"/>
        <s v="2341193"/>
        <s v="674468"/>
        <s v="543743"/>
        <s v="9273149"/>
        <s v="705624"/>
        <s v="411692"/>
        <s v="523143"/>
        <s v="845723"/>
        <s v="10091143"/>
        <s v="415162"/>
        <s v="325873"/>
        <s v="1412067"/>
        <s v="9311066"/>
        <s v="9793167"/>
        <s v="431414"/>
        <s v="98103143"/>
        <s v="465350"/>
        <s v="835264"/>
        <s v="5969219"/>
        <s v="6749231"/>
        <s v="151257"/>
        <s v="2892209"/>
        <s v="26104101"/>
        <s v="6614986"/>
        <s v="552460"/>
        <s v="2674156"/>
        <s v="523216"/>
        <s v="9993160"/>
        <s v="70138149"/>
        <s v="877346"/>
        <s v="41124194"/>
        <s v="9117218"/>
        <s v="3266151"/>
        <s v="24128229"/>
        <s v="88893"/>
        <s v="691853"/>
        <s v="4781183"/>
        <s v="279390"/>
        <s v="783129"/>
        <s v="5410111"/>
        <s v="78113195"/>
        <s v="54115174"/>
        <s v="5569179"/>
        <s v="9493176"/>
        <s v="4511089"/>
        <s v="3775123"/>
        <s v="66621"/>
        <s v="8713113"/>
        <s v="9798240"/>
        <s v="648764"/>
        <s v="9692243"/>
        <s v="788142"/>
        <s v="2623180"/>
        <s v="69126179"/>
        <s v="21111180"/>
        <s v="5987113"/>
        <s v="2912028"/>
        <s v="358144"/>
        <s v="96376"/>
        <s v="8926142"/>
        <s v="877120"/>
        <s v="3812224"/>
        <s v="3711246"/>
        <s v="105897"/>
        <s v="61497"/>
        <s v="6414549"/>
        <s v="1211519"/>
        <s v="58597"/>
        <s v="567102"/>
        <s v="127655"/>
        <s v="67127212"/>
        <s v="306368"/>
        <s v="36144250"/>
        <s v="6146155"/>
        <s v="204473"/>
        <s v="981209"/>
        <s v="53140107"/>
        <s v="8314373"/>
        <s v="41312"/>
        <s v="91684"/>
        <s v="37128172"/>
        <s v="6010124"/>
        <s v="4378109"/>
        <s v="914330"/>
        <s v="1004763"/>
        <s v="31545"/>
        <s v="2445233"/>
        <s v="43128136"/>
        <s v="3636179"/>
        <s v="19148124"/>
        <s v="8082135"/>
        <n v="55555555" u="1"/>
        <n v="555555555" u="1"/>
        <n v="5555555555" u="1"/>
      </sharedItems>
    </cacheField>
    <cacheField name="EMISSOR" numFmtId="0">
      <sharedItems count="49">
        <s v="StellarCore Systems"/>
        <s v="TerraVista Holdings"/>
        <s v="QuantumPulse LLC"/>
        <s v="NovaSphere Industries"/>
        <s v="AeroMatrix Solutions"/>
        <s v="SilverStone Ventures"/>
        <s v="ApexNexus Innovations"/>
        <s v="ZenTech Solutions"/>
        <s v="FusionPeak Technologies"/>
        <s v="TerraFusion Industries"/>
        <s v="BlueStone Networks"/>
        <s v="BlueWave Networks"/>
        <s v="BrightWave Technologies"/>
        <s v="HorizonNexus Corp."/>
        <s v="BrightLeaf Innovations"/>
        <s v="TitanFusion Power"/>
        <s v="CrimsonEdge Dynamics"/>
        <s v="CrimsonCrest Dynamics"/>
        <s v="QuantumStream Corp."/>
        <s v="ElevateX Solutions"/>
        <s v="ElevatePulse LLC"/>
        <s v="RadiantVista Holdings"/>
        <s v="InfinitySky Labs"/>
        <s v="VertexSolar Power"/>
        <s v="ZenithStream Technologies"/>
        <s v="InfinityPulse LLC"/>
        <s v="TerraPeak Enterprises"/>
        <s v="HorizonEcho Group"/>
        <s v="VortexPeak Dynamics"/>
        <s v="StellarWave Technologies"/>
        <s v="StellarFusion Corp."/>
        <s v="RadiantSky Labs"/>
        <s v="OmniGlobe Enterprises"/>
        <s v="FusionEdge Systems"/>
        <s v="SilverPulse Ventures"/>
        <s v="CyberLink Corporation"/>
        <s v="HorizonTech Solutions"/>
        <s v="ApexSphere Enterprises"/>
        <s v="CyberSphere Innovations"/>
        <s v="LuminaCore Systems"/>
        <s v="QuantumWave Industries"/>
        <s v="VortexLeaf Dynamics"/>
        <s v="LuminaWave Innovations"/>
        <s v="OmniCore Systems"/>
        <s v="QuantumEcho Labs"/>
        <s v="AeroVista Holdings"/>
        <s v="TitanEdge Enterprises"/>
        <s v="FusionVista Ventures"/>
        <s v="VortexDynamics Inc."/>
      </sharedItems>
    </cacheField>
    <cacheField name="DATA DE EMISSÃO" numFmtId="14">
      <sharedItems containsSemiMixedTypes="0" containsNonDate="0" containsDate="1" containsString="0" minDate="2023-01-01T00:00:00" maxDate="2024-09-17T00:00:00"/>
    </cacheField>
    <cacheField name="MÊS" numFmtId="0">
      <sharedItems containsSemiMixedTypes="0" containsString="0" containsNumber="1" containsInteger="1" minValue="1" maxValue="12" count="12">
        <n v="1"/>
        <n v="5"/>
        <n v="6"/>
        <n v="10"/>
        <n v="2"/>
        <n v="9"/>
        <n v="7"/>
        <n v="8"/>
        <n v="3"/>
        <n v="12"/>
        <n v="11"/>
        <n v="4"/>
      </sharedItems>
    </cacheField>
    <cacheField name="ANO" numFmtId="0">
      <sharedItems containsSemiMixedTypes="0" containsString="0" containsNumber="1" containsInteger="1" minValue="2023" maxValue="2024" count="2">
        <n v="2023"/>
        <n v="2024"/>
      </sharedItems>
    </cacheField>
    <cacheField name="CNPJ" numFmtId="14">
      <sharedItems/>
    </cacheField>
    <cacheField name="NATUREZA DA OPERAÇÃO" numFmtId="0">
      <sharedItems count="3">
        <s v="Entrada"/>
        <s v="Saída"/>
        <s v="Estornos"/>
      </sharedItems>
    </cacheField>
    <cacheField name="CENTRO DE CUSTO" numFmtId="0">
      <sharedItems/>
    </cacheField>
    <cacheField name="R$ TOTAL" numFmtId="165">
      <sharedItems containsSemiMixedTypes="0" containsString="0" containsNumber="1" containsInteger="1" minValue="401" maxValue="9981"/>
    </cacheField>
    <cacheField name="TIPO DE PAGAMENTO" numFmtId="165">
      <sharedItems count="4">
        <s v="1+2"/>
        <s v="A VISTA"/>
        <s v="1+1"/>
        <s v="1+3"/>
      </sharedItems>
    </cacheField>
    <cacheField name="1ª Parcela" numFmtId="14">
      <sharedItems containsSemiMixedTypes="0" containsNonDate="0" containsDate="1" containsString="0" minDate="2023-01-02T00:00:00" maxDate="2024-09-18T00:00:00"/>
    </cacheField>
    <cacheField name="R$ 1ª Parcela" numFmtId="44">
      <sharedItems containsSemiMixedTypes="0" containsString="0" containsNumber="1" minValue="107.5" maxValue="9981"/>
    </cacheField>
    <cacheField name="2ª Parcela" numFmtId="14">
      <sharedItems containsNonDate="0" containsDate="1" containsString="0" containsBlank="1" minDate="2023-01-31T00:00:00" maxDate="2024-10-16T00:00:00"/>
    </cacheField>
    <cacheField name="R$ 2ª Parcela" numFmtId="44">
      <sharedItems containsString="0" containsBlank="1" containsNumber="1" minValue="107.5" maxValue="4989"/>
    </cacheField>
    <cacheField name="3ª Parcela" numFmtId="14">
      <sharedItems containsNonDate="0" containsDate="1" containsString="0" containsBlank="1" minDate="2023-02-15T00:00:00" maxDate="2024-10-31T00:00:00"/>
    </cacheField>
    <cacheField name="R$ 3ª Parcela" numFmtId="44">
      <sharedItems containsString="0" containsBlank="1" containsNumber="1" minValue="107.5" maxValue="3320.3333333333335"/>
    </cacheField>
    <cacheField name="4ª Parcela" numFmtId="14">
      <sharedItems containsNonDate="0" containsDate="1" containsString="0" containsBlank="1" minDate="2023-07-06T00:00:00" maxDate="2024-11-15T00:00:00"/>
    </cacheField>
    <cacheField name="R$ 4ª Parcela" numFmtId="44">
      <sharedItems containsString="0" containsBlank="1" containsNumber="1" minValue="107.5" maxValue="2484.75"/>
    </cacheField>
  </cacheFields>
  <extLst>
    <ext xmlns:x14="http://schemas.microsoft.com/office/spreadsheetml/2009/9/main" uri="{725AE2AE-9491-48be-B2B4-4EB974FC3084}">
      <x14:pivotCacheDefinition pivotCacheId="107872831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ngton Junio" refreshedDate="45782.50186423611" createdVersion="7" refreshedVersion="7" minRefreshableVersion="3" recordCount="500" xr:uid="{C07DBF6D-8206-4B5C-A333-3FE00FB2C26B}">
  <cacheSource type="worksheet">
    <worksheetSource name="Tabela19"/>
  </cacheSource>
  <cacheFields count="18">
    <cacheField name="N° NOTA FISCAL" numFmtId="0">
      <sharedItems containsMixedTypes="1" containsNumber="1" containsInteger="1" minValue="111111111111" maxValue="111111111111"/>
    </cacheField>
    <cacheField name="EMISSOR" numFmtId="0">
      <sharedItems/>
    </cacheField>
    <cacheField name="DATA DE EMISSÃO" numFmtId="14">
      <sharedItems containsSemiMixedTypes="0" containsNonDate="0" containsDate="1" containsString="0" minDate="2023-01-01T00:00:00" maxDate="2024-09-17T00:00:00"/>
    </cacheField>
    <cacheField name="MÊS" numFmtId="0">
      <sharedItems containsSemiMixedTypes="0" containsString="0" containsNumber="1" containsInteger="1" minValue="1" maxValue="12" count="12">
        <n v="1"/>
        <n v="5"/>
        <n v="6"/>
        <n v="10"/>
        <n v="2"/>
        <n v="9"/>
        <n v="7"/>
        <n v="8"/>
        <n v="3"/>
        <n v="12"/>
        <n v="11"/>
        <n v="4"/>
      </sharedItems>
    </cacheField>
    <cacheField name="ANO" numFmtId="0">
      <sharedItems containsSemiMixedTypes="0" containsString="0" containsNumber="1" containsInteger="1" minValue="2023" maxValue="2024" count="2">
        <n v="2023"/>
        <n v="2024"/>
      </sharedItems>
    </cacheField>
    <cacheField name="CNPJ" numFmtId="14">
      <sharedItems/>
    </cacheField>
    <cacheField name="NATUREZA DA OPERAÇÃO" numFmtId="0">
      <sharedItems/>
    </cacheField>
    <cacheField name="CENTRO DE CUSTO" numFmtId="0">
      <sharedItems/>
    </cacheField>
    <cacheField name="R$ TOTAL" numFmtId="165">
      <sharedItems containsSemiMixedTypes="0" containsString="0" containsNumber="1" containsInteger="1" minValue="-9978" maxValue="9981"/>
    </cacheField>
    <cacheField name="TIPO DE PAGAMENTO" numFmtId="165">
      <sharedItems/>
    </cacheField>
    <cacheField name="1ª Parcela" numFmtId="14">
      <sharedItems containsSemiMixedTypes="0" containsNonDate="0" containsDate="1" containsString="0" minDate="2023-01-02T00:00:00" maxDate="2024-09-18T00:00:00"/>
    </cacheField>
    <cacheField name="R$ 1ª Parcela" numFmtId="44">
      <sharedItems containsSemiMixedTypes="0" containsString="0" containsNumber="1" minValue="-9714" maxValue="9981"/>
    </cacheField>
    <cacheField name="2ª Parcela" numFmtId="14">
      <sharedItems containsNonDate="0" containsDate="1" containsString="0" containsBlank="1" minDate="2023-01-31T00:00:00" maxDate="2024-10-16T00:00:00"/>
    </cacheField>
    <cacheField name="R$ 2ª Parcela" numFmtId="44">
      <sharedItems containsString="0" containsBlank="1" containsNumber="1" minValue="-4989" maxValue="4906.5"/>
    </cacheField>
    <cacheField name="3ª Parcela" numFmtId="14">
      <sharedItems containsNonDate="0" containsDate="1" containsString="0" containsBlank="1" minDate="2023-02-15T00:00:00" maxDate="2024-10-31T00:00:00"/>
    </cacheField>
    <cacheField name="R$ 3ª Parcela" numFmtId="44">
      <sharedItems containsString="0" containsBlank="1" containsNumber="1" minValue="-3320.3333333333335" maxValue="3315.6666666666665"/>
    </cacheField>
    <cacheField name="4ª Parcela" numFmtId="14">
      <sharedItems containsNonDate="0" containsDate="1" containsString="0" containsBlank="1" minDate="2023-07-06T00:00:00" maxDate="2024-11-15T00:00:00"/>
    </cacheField>
    <cacheField name="R$ 4ª Parcela" numFmtId="44">
      <sharedItems containsString="0" containsBlank="1" containsNumber="1" minValue="-2484.75" maxValue="2457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d v="2023-01-01T00:00:00"/>
    <x v="0"/>
    <x v="0"/>
    <s v="111.1111.1111"/>
    <x v="0"/>
    <s v="teste"/>
    <n v="5000"/>
    <x v="0"/>
    <d v="2023-01-02T00:00:00"/>
    <n v="1666.6666666666667"/>
    <d v="2023-01-31T00:00:00"/>
    <n v="1666.6666666666667"/>
    <d v="2023-02-15T00:00:00"/>
    <n v="1666.6666666666667"/>
    <m/>
    <m/>
  </r>
  <r>
    <x v="1"/>
    <x v="1"/>
    <d v="2024-05-09T00:00:00"/>
    <x v="1"/>
    <x v="1"/>
    <s v="45.678.901/0001-67"/>
    <x v="1"/>
    <s v="Factoring Fee"/>
    <n v="2457"/>
    <x v="1"/>
    <d v="2024-05-10T00:00:00"/>
    <n v="2457"/>
    <m/>
    <m/>
    <m/>
    <m/>
    <m/>
    <m/>
  </r>
  <r>
    <x v="2"/>
    <x v="2"/>
    <d v="2024-06-22T00:00:00"/>
    <x v="2"/>
    <x v="1"/>
    <s v="32.345.678/0001-56"/>
    <x v="0"/>
    <s v="MATERIAL C"/>
    <n v="9594"/>
    <x v="2"/>
    <d v="2024-06-23T00:00:00"/>
    <n v="4797"/>
    <d v="2024-07-22T00:00:00"/>
    <n v="4797"/>
    <m/>
    <m/>
    <m/>
    <m/>
  </r>
  <r>
    <x v="3"/>
    <x v="3"/>
    <d v="2023-10-19T00:00:00"/>
    <x v="3"/>
    <x v="0"/>
    <s v="99.012.345/0001-45"/>
    <x v="0"/>
    <s v="MATERIAL B"/>
    <n v="9086"/>
    <x v="0"/>
    <d v="2023-10-20T00:00:00"/>
    <n v="3028.6666666666665"/>
    <d v="2023-11-18T00:00:00"/>
    <n v="3028.6666666666665"/>
    <d v="2023-12-03T00:00:00"/>
    <n v="3028.6666666666665"/>
    <m/>
    <m/>
  </r>
  <r>
    <x v="4"/>
    <x v="4"/>
    <d v="2023-05-22T00:00:00"/>
    <x v="1"/>
    <x v="0"/>
    <s v="88.901.234/0001-78"/>
    <x v="0"/>
    <s v="MATERIAL D"/>
    <n v="9199"/>
    <x v="0"/>
    <d v="2023-05-23T00:00:00"/>
    <n v="3066.3333333333335"/>
    <d v="2023-06-21T00:00:00"/>
    <n v="3066.3333333333335"/>
    <d v="2023-07-06T00:00:00"/>
    <n v="3066.3333333333335"/>
    <m/>
    <m/>
  </r>
  <r>
    <x v="5"/>
    <x v="5"/>
    <d v="2024-02-24T00:00:00"/>
    <x v="4"/>
    <x v="1"/>
    <s v="89.012.345/0001-45"/>
    <x v="0"/>
    <s v="MATERIAL A"/>
    <n v="8090"/>
    <x v="3"/>
    <d v="2024-02-25T00:00:00"/>
    <n v="2022.5"/>
    <d v="2024-03-25T00:00:00"/>
    <n v="2022.5"/>
    <d v="2024-04-09T00:00:00"/>
    <n v="2022.5"/>
    <d v="2024-04-24T00:00:00"/>
    <n v="2022.5"/>
  </r>
  <r>
    <x v="6"/>
    <x v="6"/>
    <d v="2023-09-01T00:00:00"/>
    <x v="5"/>
    <x v="0"/>
    <s v="34.567.890/0001-90"/>
    <x v="2"/>
    <s v="ENVIO INCORRETO"/>
    <n v="1396"/>
    <x v="1"/>
    <d v="2023-09-02T00:00:00"/>
    <n v="1396"/>
    <m/>
    <m/>
    <m/>
    <m/>
    <m/>
    <m/>
  </r>
  <r>
    <x v="7"/>
    <x v="1"/>
    <d v="2024-06-01T00:00:00"/>
    <x v="2"/>
    <x v="1"/>
    <s v="45.678.901/0001-67"/>
    <x v="1"/>
    <s v="Factoring Fee"/>
    <n v="6710"/>
    <x v="3"/>
    <d v="2024-06-02T00:00:00"/>
    <n v="1677.5"/>
    <d v="2024-07-01T00:00:00"/>
    <n v="1677.5"/>
    <d v="2024-07-16T00:00:00"/>
    <n v="1677.5"/>
    <d v="2024-07-31T00:00:00"/>
    <n v="1677.5"/>
  </r>
  <r>
    <x v="8"/>
    <x v="7"/>
    <d v="2023-10-16T00:00:00"/>
    <x v="3"/>
    <x v="0"/>
    <s v="08.901.234/0001-78"/>
    <x v="1"/>
    <s v="Factoring Fee"/>
    <n v="2984"/>
    <x v="3"/>
    <d v="2023-10-17T00:00:00"/>
    <n v="746"/>
    <d v="2023-11-15T00:00:00"/>
    <n v="746"/>
    <d v="2023-11-30T00:00:00"/>
    <n v="746"/>
    <d v="2023-12-15T00:00:00"/>
    <n v="746"/>
  </r>
  <r>
    <x v="9"/>
    <x v="8"/>
    <d v="2023-09-11T00:00:00"/>
    <x v="5"/>
    <x v="0"/>
    <s v="67.890.123/0001-01"/>
    <x v="0"/>
    <s v="MATERIAL D"/>
    <n v="5644"/>
    <x v="2"/>
    <d v="2023-09-12T00:00:00"/>
    <n v="2822"/>
    <d v="2023-10-11T00:00:00"/>
    <n v="2822"/>
    <m/>
    <m/>
    <m/>
    <m/>
  </r>
  <r>
    <x v="10"/>
    <x v="8"/>
    <d v="2023-07-21T00:00:00"/>
    <x v="6"/>
    <x v="0"/>
    <s v="67.890.123/0001-01"/>
    <x v="0"/>
    <s v="MATERIAL D"/>
    <n v="5862"/>
    <x v="3"/>
    <d v="2023-07-22T00:00:00"/>
    <n v="1465.5"/>
    <d v="2023-08-20T00:00:00"/>
    <n v="1465.5"/>
    <d v="2023-09-04T00:00:00"/>
    <n v="1465.5"/>
    <d v="2023-09-19T00:00:00"/>
    <n v="1465.5"/>
  </r>
  <r>
    <x v="11"/>
    <x v="8"/>
    <d v="2024-02-21T00:00:00"/>
    <x v="4"/>
    <x v="1"/>
    <s v="67.890.123/0001-01"/>
    <x v="0"/>
    <s v="MATERIAL D"/>
    <n v="762"/>
    <x v="3"/>
    <d v="2024-02-22T00:00:00"/>
    <n v="190.5"/>
    <d v="2024-03-22T00:00:00"/>
    <n v="190.5"/>
    <d v="2024-04-06T00:00:00"/>
    <n v="190.5"/>
    <d v="2024-04-21T00:00:00"/>
    <n v="190.5"/>
  </r>
  <r>
    <x v="12"/>
    <x v="9"/>
    <d v="2023-08-11T00:00:00"/>
    <x v="7"/>
    <x v="0"/>
    <s v="54.567.890/0001-90"/>
    <x v="2"/>
    <s v="EXTRAVIADO"/>
    <n v="626"/>
    <x v="1"/>
    <d v="2023-08-12T00:00:00"/>
    <n v="626"/>
    <m/>
    <m/>
    <m/>
    <m/>
    <m/>
    <m/>
  </r>
  <r>
    <x v="13"/>
    <x v="8"/>
    <d v="2023-10-18T00:00:00"/>
    <x v="3"/>
    <x v="0"/>
    <s v="67.890.123/0001-01"/>
    <x v="0"/>
    <s v="MATERIAL D"/>
    <n v="5530"/>
    <x v="3"/>
    <d v="2023-10-19T00:00:00"/>
    <n v="1382.5"/>
    <d v="2023-11-17T00:00:00"/>
    <n v="1382.5"/>
    <d v="2023-12-02T00:00:00"/>
    <n v="1382.5"/>
    <d v="2023-12-17T00:00:00"/>
    <n v="1382.5"/>
  </r>
  <r>
    <x v="14"/>
    <x v="10"/>
    <d v="2023-06-24T00:00:00"/>
    <x v="2"/>
    <x v="0"/>
    <s v="53.456.789/0001-23"/>
    <x v="0"/>
    <s v="MATERIAL C"/>
    <n v="3652"/>
    <x v="3"/>
    <d v="2023-06-25T00:00:00"/>
    <n v="913"/>
    <d v="2023-07-24T00:00:00"/>
    <n v="913"/>
    <d v="2023-08-08T00:00:00"/>
    <n v="913"/>
    <d v="2023-08-23T00:00:00"/>
    <n v="913"/>
  </r>
  <r>
    <x v="15"/>
    <x v="11"/>
    <d v="2024-03-25T00:00:00"/>
    <x v="8"/>
    <x v="1"/>
    <s v="22.345.678/0001-56"/>
    <x v="1"/>
    <s v="Pagamentos ADMs"/>
    <n v="8685"/>
    <x v="0"/>
    <d v="2024-03-26T00:00:00"/>
    <n v="2895"/>
    <d v="2024-04-24T00:00:00"/>
    <n v="2895"/>
    <d v="2024-05-09T00:00:00"/>
    <n v="2895"/>
    <m/>
    <m/>
  </r>
  <r>
    <x v="16"/>
    <x v="12"/>
    <d v="2023-10-12T00:00:00"/>
    <x v="3"/>
    <x v="0"/>
    <s v="52.345.678/0001-56"/>
    <x v="0"/>
    <s v="MATERIAL A"/>
    <n v="8792"/>
    <x v="0"/>
    <d v="2023-10-13T00:00:00"/>
    <n v="2930.6666666666665"/>
    <d v="2023-11-11T00:00:00"/>
    <n v="2930.6666666666665"/>
    <d v="2023-11-26T00:00:00"/>
    <n v="2930.6666666666665"/>
    <m/>
    <m/>
  </r>
  <r>
    <x v="17"/>
    <x v="13"/>
    <d v="2023-12-08T00:00:00"/>
    <x v="9"/>
    <x v="0"/>
    <s v="09.012.345/0001-45"/>
    <x v="0"/>
    <s v="MATERIAL D"/>
    <n v="9489"/>
    <x v="1"/>
    <d v="2023-12-09T00:00:00"/>
    <n v="9489"/>
    <m/>
    <m/>
    <m/>
    <m/>
    <m/>
    <m/>
  </r>
  <r>
    <x v="18"/>
    <x v="14"/>
    <d v="2024-07-15T00:00:00"/>
    <x v="6"/>
    <x v="1"/>
    <s v="10.123.456/0001-12"/>
    <x v="0"/>
    <s v="MATERIAL A"/>
    <n v="4460"/>
    <x v="1"/>
    <d v="2024-07-16T00:00:00"/>
    <n v="4460"/>
    <m/>
    <m/>
    <m/>
    <m/>
    <m/>
    <m/>
  </r>
  <r>
    <x v="19"/>
    <x v="15"/>
    <d v="2023-10-13T00:00:00"/>
    <x v="3"/>
    <x v="0"/>
    <s v="86.789.012/0001-34"/>
    <x v="0"/>
    <s v="MATERIAL E"/>
    <n v="8583"/>
    <x v="3"/>
    <d v="2023-10-14T00:00:00"/>
    <n v="2145.75"/>
    <d v="2023-11-12T00:00:00"/>
    <n v="2145.75"/>
    <d v="2023-11-27T00:00:00"/>
    <n v="2145.75"/>
    <d v="2023-12-12T00:00:00"/>
    <n v="2145.75"/>
  </r>
  <r>
    <x v="20"/>
    <x v="16"/>
    <d v="2023-12-31T00:00:00"/>
    <x v="9"/>
    <x v="0"/>
    <s v="97.890.123/0001-01"/>
    <x v="2"/>
    <s v="ENVIO INCORRETO"/>
    <n v="1637"/>
    <x v="1"/>
    <d v="2024-01-01T00:00:00"/>
    <n v="1637"/>
    <m/>
    <m/>
    <m/>
    <m/>
    <m/>
    <m/>
  </r>
  <r>
    <x v="21"/>
    <x v="17"/>
    <d v="2023-08-31T00:00:00"/>
    <x v="7"/>
    <x v="0"/>
    <s v="66.789.012/0001-34"/>
    <x v="1"/>
    <s v="Factoring Fee"/>
    <n v="9068"/>
    <x v="0"/>
    <d v="2023-09-01T00:00:00"/>
    <n v="3022.6666666666665"/>
    <d v="2023-09-30T00:00:00"/>
    <n v="3022.6666666666665"/>
    <d v="2023-10-15T00:00:00"/>
    <n v="3022.6666666666665"/>
    <m/>
    <m/>
  </r>
  <r>
    <x v="22"/>
    <x v="18"/>
    <d v="2023-10-11T00:00:00"/>
    <x v="3"/>
    <x v="0"/>
    <s v="30.123.456/0001-12"/>
    <x v="0"/>
    <s v="MATERIAL D"/>
    <n v="8111"/>
    <x v="1"/>
    <d v="2023-10-12T00:00:00"/>
    <n v="8111"/>
    <m/>
    <m/>
    <m/>
    <m/>
    <m/>
    <m/>
  </r>
  <r>
    <x v="23"/>
    <x v="19"/>
    <d v="2023-09-23T00:00:00"/>
    <x v="5"/>
    <x v="0"/>
    <s v="43.456.789/0001-23"/>
    <x v="1"/>
    <s v="Pagamentos ADMs"/>
    <n v="3919"/>
    <x v="0"/>
    <d v="2023-09-24T00:00:00"/>
    <n v="1306.3333333333333"/>
    <d v="2023-10-23T00:00:00"/>
    <n v="1306.3333333333333"/>
    <d v="2023-11-07T00:00:00"/>
    <n v="1306.3333333333333"/>
    <m/>
    <m/>
  </r>
  <r>
    <x v="24"/>
    <x v="16"/>
    <d v="2024-02-24T00:00:00"/>
    <x v="4"/>
    <x v="1"/>
    <s v="97.890.123/0001-01"/>
    <x v="2"/>
    <s v="ENVIO INCORRETO"/>
    <n v="1358"/>
    <x v="1"/>
    <d v="2024-02-25T00:00:00"/>
    <n v="1358"/>
    <m/>
    <m/>
    <m/>
    <m/>
    <m/>
    <m/>
  </r>
  <r>
    <x v="25"/>
    <x v="1"/>
    <d v="2023-11-04T00:00:00"/>
    <x v="10"/>
    <x v="0"/>
    <s v="45.678.901/0001-67"/>
    <x v="1"/>
    <s v="Factoring Fee"/>
    <n v="2013"/>
    <x v="1"/>
    <d v="2023-11-05T00:00:00"/>
    <n v="2013"/>
    <m/>
    <m/>
    <m/>
    <m/>
    <m/>
    <m/>
  </r>
  <r>
    <x v="26"/>
    <x v="20"/>
    <d v="2024-01-07T00:00:00"/>
    <x v="0"/>
    <x v="1"/>
    <s v="85.678.901/0001-67"/>
    <x v="1"/>
    <s v="Pagamentos ADMs"/>
    <n v="9208"/>
    <x v="2"/>
    <d v="2024-01-08T00:00:00"/>
    <n v="4604"/>
    <d v="2024-02-06T00:00:00"/>
    <n v="4604"/>
    <m/>
    <m/>
    <m/>
    <m/>
  </r>
  <r>
    <x v="27"/>
    <x v="21"/>
    <d v="2023-08-23T00:00:00"/>
    <x v="7"/>
    <x v="0"/>
    <s v="20.123.456/0001-12"/>
    <x v="0"/>
    <s v="MATERIAL B"/>
    <n v="674"/>
    <x v="0"/>
    <d v="2023-08-24T00:00:00"/>
    <n v="224.66666666666666"/>
    <d v="2023-09-22T00:00:00"/>
    <n v="224.66666666666666"/>
    <d v="2023-10-07T00:00:00"/>
    <n v="224.66666666666666"/>
    <m/>
    <m/>
  </r>
  <r>
    <x v="28"/>
    <x v="17"/>
    <d v="2024-07-09T00:00:00"/>
    <x v="6"/>
    <x v="1"/>
    <s v="66.789.012/0001-34"/>
    <x v="1"/>
    <s v="Factoring Fee"/>
    <n v="2715"/>
    <x v="0"/>
    <d v="2024-07-10T00:00:00"/>
    <n v="905"/>
    <d v="2024-08-08T00:00:00"/>
    <n v="905"/>
    <d v="2024-08-23T00:00:00"/>
    <n v="905"/>
    <m/>
    <m/>
  </r>
  <r>
    <x v="29"/>
    <x v="8"/>
    <d v="2024-01-29T00:00:00"/>
    <x v="0"/>
    <x v="1"/>
    <s v="67.890.123/0001-01"/>
    <x v="0"/>
    <s v="MATERIAL D"/>
    <n v="912"/>
    <x v="3"/>
    <d v="2024-01-30T00:00:00"/>
    <n v="228"/>
    <d v="2024-02-28T00:00:00"/>
    <n v="228"/>
    <d v="2024-03-14T00:00:00"/>
    <n v="228"/>
    <d v="2024-03-29T00:00:00"/>
    <n v="228"/>
  </r>
  <r>
    <x v="30"/>
    <x v="5"/>
    <d v="2023-11-15T00:00:00"/>
    <x v="10"/>
    <x v="0"/>
    <s v="89.012.345/0001-45"/>
    <x v="0"/>
    <s v="MATERIAL A"/>
    <n v="1239"/>
    <x v="3"/>
    <d v="2023-11-16T00:00:00"/>
    <n v="309.75"/>
    <d v="2023-12-15T00:00:00"/>
    <n v="309.75"/>
    <d v="2023-12-30T00:00:00"/>
    <n v="309.75"/>
    <d v="2024-01-14T00:00:00"/>
    <n v="309.75"/>
  </r>
  <r>
    <x v="31"/>
    <x v="11"/>
    <d v="2024-01-27T00:00:00"/>
    <x v="0"/>
    <x v="1"/>
    <s v="22.345.678/0001-56"/>
    <x v="1"/>
    <s v="Pagamentos ADMs"/>
    <n v="9295"/>
    <x v="1"/>
    <d v="2024-01-28T00:00:00"/>
    <n v="9295"/>
    <m/>
    <m/>
    <m/>
    <m/>
    <m/>
    <m/>
  </r>
  <r>
    <x v="32"/>
    <x v="12"/>
    <d v="2023-10-10T00:00:00"/>
    <x v="3"/>
    <x v="0"/>
    <s v="52.345.678/0001-56"/>
    <x v="0"/>
    <s v="MATERIAL A"/>
    <n v="3922"/>
    <x v="0"/>
    <d v="2023-10-11T00:00:00"/>
    <n v="1307.3333333333333"/>
    <d v="2023-11-09T00:00:00"/>
    <n v="1307.3333333333333"/>
    <d v="2023-11-24T00:00:00"/>
    <n v="1307.3333333333333"/>
    <m/>
    <m/>
  </r>
  <r>
    <x v="33"/>
    <x v="22"/>
    <d v="2023-07-22T00:00:00"/>
    <x v="6"/>
    <x v="0"/>
    <s v="75.678.901/0001-67"/>
    <x v="2"/>
    <s v="EXTRAVIADO"/>
    <n v="6216"/>
    <x v="1"/>
    <d v="2023-07-23T00:00:00"/>
    <n v="6216"/>
    <m/>
    <m/>
    <m/>
    <m/>
    <m/>
    <m/>
  </r>
  <r>
    <x v="34"/>
    <x v="14"/>
    <d v="2023-07-24T00:00:00"/>
    <x v="6"/>
    <x v="0"/>
    <s v="10.123.456/0001-12"/>
    <x v="0"/>
    <s v="MATERIAL A"/>
    <n v="2210"/>
    <x v="2"/>
    <d v="2023-07-25T00:00:00"/>
    <n v="1105"/>
    <d v="2023-08-23T00:00:00"/>
    <n v="1105"/>
    <m/>
    <m/>
    <m/>
    <m/>
  </r>
  <r>
    <x v="35"/>
    <x v="16"/>
    <d v="2024-03-06T00:00:00"/>
    <x v="8"/>
    <x v="1"/>
    <s v="97.890.123/0001-01"/>
    <x v="2"/>
    <s v="ENVIO INCORRETO"/>
    <n v="9667"/>
    <x v="1"/>
    <d v="2024-03-07T00:00:00"/>
    <n v="9667"/>
    <m/>
    <m/>
    <m/>
    <m/>
    <m/>
    <m/>
  </r>
  <r>
    <x v="36"/>
    <x v="6"/>
    <d v="2024-04-09T00:00:00"/>
    <x v="11"/>
    <x v="1"/>
    <s v="34.567.890/0001-90"/>
    <x v="2"/>
    <s v="ENVIO INCORRETO"/>
    <n v="8317"/>
    <x v="1"/>
    <d v="2024-04-10T00:00:00"/>
    <n v="8317"/>
    <m/>
    <m/>
    <m/>
    <m/>
    <m/>
    <m/>
  </r>
  <r>
    <x v="37"/>
    <x v="23"/>
    <d v="2023-10-02T00:00:00"/>
    <x v="3"/>
    <x v="0"/>
    <s v="55.678.901/0001-67"/>
    <x v="2"/>
    <s v="ENVIO INCORRETO"/>
    <n v="2499"/>
    <x v="1"/>
    <d v="2023-10-03T00:00:00"/>
    <n v="2499"/>
    <m/>
    <m/>
    <m/>
    <m/>
    <m/>
    <m/>
  </r>
  <r>
    <x v="38"/>
    <x v="8"/>
    <d v="2023-11-25T00:00:00"/>
    <x v="10"/>
    <x v="0"/>
    <s v="67.890.123/0001-01"/>
    <x v="0"/>
    <s v="MATERIAL D"/>
    <n v="2271"/>
    <x v="0"/>
    <d v="2023-11-26T00:00:00"/>
    <n v="757"/>
    <d v="2023-12-25T00:00:00"/>
    <n v="757"/>
    <d v="2024-01-09T00:00:00"/>
    <n v="757"/>
    <m/>
    <m/>
  </r>
  <r>
    <x v="39"/>
    <x v="6"/>
    <d v="2024-08-05T00:00:00"/>
    <x v="7"/>
    <x v="1"/>
    <s v="34.567.890/0001-90"/>
    <x v="2"/>
    <s v="ENVIO INCORRETO"/>
    <n v="3684"/>
    <x v="1"/>
    <d v="2024-08-06T00:00:00"/>
    <n v="3684"/>
    <m/>
    <m/>
    <m/>
    <m/>
    <m/>
    <m/>
  </r>
  <r>
    <x v="40"/>
    <x v="24"/>
    <d v="2023-10-17T00:00:00"/>
    <x v="3"/>
    <x v="0"/>
    <s v="77.890.123/0001-01"/>
    <x v="1"/>
    <s v="Impostos"/>
    <n v="5533"/>
    <x v="2"/>
    <d v="2023-10-18T00:00:00"/>
    <n v="2766.5"/>
    <d v="2023-11-16T00:00:00"/>
    <n v="2766.5"/>
    <m/>
    <m/>
    <m/>
    <m/>
  </r>
  <r>
    <x v="41"/>
    <x v="25"/>
    <d v="2024-01-01T00:00:00"/>
    <x v="0"/>
    <x v="1"/>
    <s v="11.234.567/0001-89"/>
    <x v="0"/>
    <s v="MATERIAL C"/>
    <n v="9498"/>
    <x v="0"/>
    <d v="2024-01-02T00:00:00"/>
    <n v="3166"/>
    <d v="2024-01-31T00:00:00"/>
    <n v="3166"/>
    <d v="2024-02-15T00:00:00"/>
    <n v="3166"/>
    <m/>
    <m/>
  </r>
  <r>
    <x v="42"/>
    <x v="6"/>
    <d v="2023-08-12T00:00:00"/>
    <x v="7"/>
    <x v="0"/>
    <s v="34.567.890/0001-90"/>
    <x v="2"/>
    <s v="ENVIO INCORRETO"/>
    <n v="4564"/>
    <x v="1"/>
    <d v="2023-08-13T00:00:00"/>
    <n v="4564"/>
    <m/>
    <m/>
    <m/>
    <m/>
    <m/>
    <m/>
  </r>
  <r>
    <x v="43"/>
    <x v="26"/>
    <d v="2024-07-20T00:00:00"/>
    <x v="6"/>
    <x v="1"/>
    <s v="41.234.567/0001-89"/>
    <x v="0"/>
    <s v="MATERIAL B"/>
    <n v="5538"/>
    <x v="3"/>
    <d v="2024-07-21T00:00:00"/>
    <n v="1384.5"/>
    <d v="2024-08-19T00:00:00"/>
    <n v="1384.5"/>
    <d v="2024-09-03T00:00:00"/>
    <n v="1384.5"/>
    <d v="2024-09-18T00:00:00"/>
    <n v="1384.5"/>
  </r>
  <r>
    <x v="44"/>
    <x v="20"/>
    <d v="2024-01-29T00:00:00"/>
    <x v="0"/>
    <x v="1"/>
    <s v="85.678.901/0001-67"/>
    <x v="1"/>
    <s v="Pagamentos ADMs"/>
    <n v="3074"/>
    <x v="1"/>
    <d v="2024-01-30T00:00:00"/>
    <n v="3074"/>
    <m/>
    <m/>
    <m/>
    <m/>
    <m/>
    <m/>
  </r>
  <r>
    <x v="45"/>
    <x v="25"/>
    <d v="2024-08-23T00:00:00"/>
    <x v="7"/>
    <x v="1"/>
    <s v="11.234.567/0001-89"/>
    <x v="0"/>
    <s v="MATERIAL C"/>
    <n v="1534"/>
    <x v="3"/>
    <d v="2024-08-24T00:00:00"/>
    <n v="383.5"/>
    <d v="2024-09-22T00:00:00"/>
    <n v="383.5"/>
    <d v="2024-10-07T00:00:00"/>
    <n v="383.5"/>
    <d v="2024-10-22T00:00:00"/>
    <n v="383.5"/>
  </r>
  <r>
    <x v="46"/>
    <x v="1"/>
    <d v="2023-09-09T00:00:00"/>
    <x v="5"/>
    <x v="0"/>
    <s v="45.678.901/0001-67"/>
    <x v="1"/>
    <s v="Factoring Fee"/>
    <n v="7469"/>
    <x v="1"/>
    <d v="2023-09-10T00:00:00"/>
    <n v="7469"/>
    <m/>
    <m/>
    <m/>
    <m/>
    <m/>
    <m/>
  </r>
  <r>
    <x v="47"/>
    <x v="27"/>
    <d v="2024-03-12T00:00:00"/>
    <x v="8"/>
    <x v="1"/>
    <s v="78.901.234/0001-78"/>
    <x v="0"/>
    <s v="MATERIAL B"/>
    <n v="9947"/>
    <x v="0"/>
    <d v="2024-03-13T00:00:00"/>
    <n v="3315.6666666666665"/>
    <d v="2024-04-11T00:00:00"/>
    <n v="3315.6666666666665"/>
    <d v="2024-04-26T00:00:00"/>
    <n v="3315.6666666666665"/>
    <m/>
    <m/>
  </r>
  <r>
    <x v="48"/>
    <x v="28"/>
    <d v="2024-06-29T00:00:00"/>
    <x v="2"/>
    <x v="1"/>
    <s v="98.901.234/0001-78"/>
    <x v="1"/>
    <s v="Impostos"/>
    <n v="2814"/>
    <x v="1"/>
    <d v="2024-06-30T00:00:00"/>
    <n v="2814"/>
    <m/>
    <m/>
    <m/>
    <m/>
    <m/>
    <m/>
  </r>
  <r>
    <x v="49"/>
    <x v="23"/>
    <d v="2023-12-25T00:00:00"/>
    <x v="9"/>
    <x v="0"/>
    <s v="55.678.901/0001-67"/>
    <x v="2"/>
    <s v="ENVIO INCORRETO"/>
    <n v="2049"/>
    <x v="1"/>
    <d v="2023-12-26T00:00:00"/>
    <n v="2049"/>
    <m/>
    <m/>
    <m/>
    <m/>
    <m/>
    <m/>
  </r>
  <r>
    <x v="50"/>
    <x v="14"/>
    <d v="2024-01-02T00:00:00"/>
    <x v="0"/>
    <x v="1"/>
    <s v="10.123.456/0001-12"/>
    <x v="0"/>
    <s v="MATERIAL A"/>
    <n v="4784"/>
    <x v="2"/>
    <d v="2024-01-03T00:00:00"/>
    <n v="2392"/>
    <d v="2024-02-01T00:00:00"/>
    <n v="2392"/>
    <m/>
    <m/>
    <m/>
    <m/>
  </r>
  <r>
    <x v="51"/>
    <x v="27"/>
    <d v="2023-06-12T00:00:00"/>
    <x v="2"/>
    <x v="0"/>
    <s v="78.901.234/0001-78"/>
    <x v="0"/>
    <s v="MATERIAL B"/>
    <n v="3758"/>
    <x v="0"/>
    <d v="2023-06-13T00:00:00"/>
    <n v="1252.6666666666667"/>
    <d v="2023-07-12T00:00:00"/>
    <n v="1252.6666666666667"/>
    <d v="2023-07-27T00:00:00"/>
    <n v="1252.6666666666667"/>
    <m/>
    <m/>
  </r>
  <r>
    <x v="52"/>
    <x v="29"/>
    <d v="2023-11-10T00:00:00"/>
    <x v="10"/>
    <x v="0"/>
    <s v="76.789.012/0001-34"/>
    <x v="2"/>
    <s v="ENVIO INCORRETO"/>
    <n v="3093"/>
    <x v="1"/>
    <d v="2023-11-11T00:00:00"/>
    <n v="3093"/>
    <m/>
    <m/>
    <m/>
    <m/>
    <m/>
    <m/>
  </r>
  <r>
    <x v="53"/>
    <x v="30"/>
    <d v="2023-08-20T00:00:00"/>
    <x v="7"/>
    <x v="0"/>
    <s v="01.234.567/0001-89"/>
    <x v="1"/>
    <s v="Pagamentos ADMs"/>
    <n v="6874"/>
    <x v="0"/>
    <d v="2023-08-21T00:00:00"/>
    <n v="2291.3333333333335"/>
    <d v="2023-09-19T00:00:00"/>
    <n v="2291.3333333333335"/>
    <d v="2023-10-04T00:00:00"/>
    <n v="2291.3333333333335"/>
    <m/>
    <m/>
  </r>
  <r>
    <x v="54"/>
    <x v="18"/>
    <d v="2024-01-24T00:00:00"/>
    <x v="0"/>
    <x v="1"/>
    <s v="30.123.456/0001-12"/>
    <x v="0"/>
    <s v="MATERIAL D"/>
    <n v="9167"/>
    <x v="2"/>
    <d v="2024-01-25T00:00:00"/>
    <n v="4583.5"/>
    <d v="2024-02-23T00:00:00"/>
    <n v="4583.5"/>
    <m/>
    <m/>
    <m/>
    <m/>
  </r>
  <r>
    <x v="55"/>
    <x v="8"/>
    <d v="2023-12-24T00:00:00"/>
    <x v="9"/>
    <x v="0"/>
    <s v="67.890.123/0001-01"/>
    <x v="0"/>
    <s v="MATERIAL D"/>
    <n v="9532"/>
    <x v="0"/>
    <d v="2023-12-25T00:00:00"/>
    <n v="3177.3333333333335"/>
    <d v="2024-01-23T00:00:00"/>
    <n v="3177.3333333333335"/>
    <d v="2024-02-07T00:00:00"/>
    <n v="3177.3333333333335"/>
    <m/>
    <m/>
  </r>
  <r>
    <x v="56"/>
    <x v="7"/>
    <d v="2024-05-29T00:00:00"/>
    <x v="1"/>
    <x v="1"/>
    <s v="08.901.234/0001-78"/>
    <x v="1"/>
    <s v="Factoring Fee"/>
    <n v="4103"/>
    <x v="1"/>
    <d v="2024-05-30T00:00:00"/>
    <n v="4103"/>
    <m/>
    <m/>
    <m/>
    <m/>
    <m/>
    <m/>
  </r>
  <r>
    <x v="57"/>
    <x v="31"/>
    <d v="2024-03-03T00:00:00"/>
    <x v="8"/>
    <x v="1"/>
    <s v="33.456.789/0001-23"/>
    <x v="2"/>
    <s v="EXTRAVIADO"/>
    <n v="3979"/>
    <x v="1"/>
    <d v="2024-03-04T00:00:00"/>
    <n v="3979"/>
    <m/>
    <m/>
    <m/>
    <m/>
    <m/>
    <m/>
  </r>
  <r>
    <x v="58"/>
    <x v="32"/>
    <d v="2024-01-15T00:00:00"/>
    <x v="0"/>
    <x v="1"/>
    <s v="23.456.789/0001-23"/>
    <x v="0"/>
    <s v="MATERIAL E"/>
    <n v="3454"/>
    <x v="3"/>
    <d v="2024-01-16T00:00:00"/>
    <n v="863.5"/>
    <d v="2024-02-14T00:00:00"/>
    <n v="863.5"/>
    <d v="2024-02-29T00:00:00"/>
    <n v="863.5"/>
    <d v="2024-03-15T00:00:00"/>
    <n v="863.5"/>
  </r>
  <r>
    <x v="59"/>
    <x v="22"/>
    <d v="2023-12-17T00:00:00"/>
    <x v="9"/>
    <x v="0"/>
    <s v="75.678.901/0001-67"/>
    <x v="2"/>
    <s v="EXTRAVIADO"/>
    <n v="1846"/>
    <x v="1"/>
    <d v="2023-12-18T00:00:00"/>
    <n v="1846"/>
    <m/>
    <m/>
    <m/>
    <m/>
    <m/>
    <m/>
  </r>
  <r>
    <x v="60"/>
    <x v="3"/>
    <d v="2023-10-04T00:00:00"/>
    <x v="3"/>
    <x v="0"/>
    <s v="99.012.345/0001-45"/>
    <x v="0"/>
    <s v="MATERIAL B"/>
    <n v="4464"/>
    <x v="1"/>
    <d v="2023-10-05T00:00:00"/>
    <n v="4464"/>
    <m/>
    <m/>
    <m/>
    <m/>
    <m/>
    <m/>
  </r>
  <r>
    <x v="61"/>
    <x v="33"/>
    <d v="2023-11-08T00:00:00"/>
    <x v="10"/>
    <x v="0"/>
    <s v="87.890.123/0001-01"/>
    <x v="1"/>
    <s v="Factoring Fee"/>
    <n v="4026"/>
    <x v="0"/>
    <d v="2023-11-09T00:00:00"/>
    <n v="1342"/>
    <d v="2023-12-08T00:00:00"/>
    <n v="1342"/>
    <d v="2023-12-23T00:00:00"/>
    <n v="1342"/>
    <m/>
    <m/>
  </r>
  <r>
    <x v="62"/>
    <x v="26"/>
    <d v="2023-08-05T00:00:00"/>
    <x v="7"/>
    <x v="0"/>
    <s v="41.234.567/0001-89"/>
    <x v="0"/>
    <s v="MATERIAL B"/>
    <n v="7675"/>
    <x v="0"/>
    <d v="2023-08-06T00:00:00"/>
    <n v="2558.3333333333335"/>
    <d v="2023-09-04T00:00:00"/>
    <n v="2558.3333333333335"/>
    <d v="2023-09-19T00:00:00"/>
    <n v="2558.3333333333335"/>
    <m/>
    <m/>
  </r>
  <r>
    <x v="63"/>
    <x v="21"/>
    <d v="2023-07-16T00:00:00"/>
    <x v="6"/>
    <x v="0"/>
    <s v="20.123.456/0001-12"/>
    <x v="0"/>
    <s v="MATERIAL B"/>
    <n v="1083"/>
    <x v="2"/>
    <d v="2023-07-17T00:00:00"/>
    <n v="541.5"/>
    <d v="2023-08-15T00:00:00"/>
    <n v="541.5"/>
    <m/>
    <m/>
    <m/>
    <m/>
  </r>
  <r>
    <x v="64"/>
    <x v="34"/>
    <d v="2023-10-09T00:00:00"/>
    <x v="3"/>
    <x v="0"/>
    <s v="42.345.678/0001-56"/>
    <x v="1"/>
    <s v="Consultoria"/>
    <n v="937"/>
    <x v="2"/>
    <d v="2023-10-10T00:00:00"/>
    <n v="468.5"/>
    <d v="2023-11-08T00:00:00"/>
    <n v="468.5"/>
    <m/>
    <m/>
    <m/>
    <m/>
  </r>
  <r>
    <x v="65"/>
    <x v="12"/>
    <d v="2024-04-03T00:00:00"/>
    <x v="11"/>
    <x v="1"/>
    <s v="52.345.678/0001-56"/>
    <x v="0"/>
    <s v="MATERIAL A"/>
    <n v="5152"/>
    <x v="2"/>
    <d v="2024-04-04T00:00:00"/>
    <n v="2576"/>
    <d v="2024-05-03T00:00:00"/>
    <n v="2576"/>
    <m/>
    <m/>
    <m/>
    <m/>
  </r>
  <r>
    <x v="66"/>
    <x v="18"/>
    <d v="2023-09-25T00:00:00"/>
    <x v="5"/>
    <x v="0"/>
    <s v="30.123.456/0001-12"/>
    <x v="0"/>
    <s v="MATERIAL D"/>
    <n v="1653"/>
    <x v="3"/>
    <d v="2023-09-26T00:00:00"/>
    <n v="413.25"/>
    <d v="2023-10-25T00:00:00"/>
    <n v="413.25"/>
    <d v="2023-11-09T00:00:00"/>
    <n v="413.25"/>
    <d v="2023-11-24T00:00:00"/>
    <n v="413.25"/>
  </r>
  <r>
    <x v="67"/>
    <x v="10"/>
    <d v="2024-07-28T00:00:00"/>
    <x v="6"/>
    <x v="1"/>
    <s v="53.456.789/0001-23"/>
    <x v="0"/>
    <s v="MATERIAL C"/>
    <n v="1492"/>
    <x v="3"/>
    <d v="2024-07-29T00:00:00"/>
    <n v="373"/>
    <d v="2024-08-27T00:00:00"/>
    <n v="373"/>
    <d v="2024-09-11T00:00:00"/>
    <n v="373"/>
    <d v="2024-09-26T00:00:00"/>
    <n v="373"/>
  </r>
  <r>
    <x v="68"/>
    <x v="35"/>
    <d v="2023-05-07T00:00:00"/>
    <x v="1"/>
    <x v="0"/>
    <s v="21.234.567/0001-89"/>
    <x v="1"/>
    <s v="Consultoria"/>
    <n v="1271"/>
    <x v="3"/>
    <d v="2023-05-08T00:00:00"/>
    <n v="317.75"/>
    <d v="2023-06-06T00:00:00"/>
    <n v="317.75"/>
    <d v="2023-06-21T00:00:00"/>
    <n v="317.75"/>
    <d v="2023-07-06T00:00:00"/>
    <n v="317.75"/>
  </r>
  <r>
    <x v="69"/>
    <x v="36"/>
    <d v="2024-09-12T00:00:00"/>
    <x v="5"/>
    <x v="1"/>
    <s v="29.012.345/0001-45"/>
    <x v="0"/>
    <s v="MATERIAL B"/>
    <n v="4805"/>
    <x v="0"/>
    <d v="2024-09-13T00:00:00"/>
    <n v="1601.6666666666667"/>
    <d v="2024-10-12T00:00:00"/>
    <n v="1601.6666666666667"/>
    <d v="2024-10-27T00:00:00"/>
    <n v="1601.6666666666667"/>
    <m/>
    <m/>
  </r>
  <r>
    <x v="70"/>
    <x v="0"/>
    <d v="2023-10-25T00:00:00"/>
    <x v="3"/>
    <x v="0"/>
    <s v="96.789.012/0001-34"/>
    <x v="2"/>
    <s v="EXTRAVIADO"/>
    <n v="7493"/>
    <x v="1"/>
    <d v="2023-10-26T00:00:00"/>
    <n v="7493"/>
    <m/>
    <m/>
    <m/>
    <m/>
    <m/>
    <m/>
  </r>
  <r>
    <x v="71"/>
    <x v="25"/>
    <d v="2024-02-03T00:00:00"/>
    <x v="4"/>
    <x v="1"/>
    <s v="11.234.567/0001-89"/>
    <x v="0"/>
    <s v="MATERIAL C"/>
    <n v="7961"/>
    <x v="3"/>
    <d v="2024-02-04T00:00:00"/>
    <n v="1990.25"/>
    <d v="2024-03-04T00:00:00"/>
    <n v="1990.25"/>
    <d v="2024-03-19T00:00:00"/>
    <n v="1990.25"/>
    <d v="2024-04-03T00:00:00"/>
    <n v="1990.25"/>
  </r>
  <r>
    <x v="72"/>
    <x v="24"/>
    <d v="2023-10-03T00:00:00"/>
    <x v="3"/>
    <x v="0"/>
    <s v="77.890.123/0001-01"/>
    <x v="1"/>
    <s v="Impostos"/>
    <n v="7983"/>
    <x v="3"/>
    <d v="2023-10-04T00:00:00"/>
    <n v="1995.75"/>
    <d v="2023-11-02T00:00:00"/>
    <n v="1995.75"/>
    <d v="2023-11-17T00:00:00"/>
    <n v="1995.75"/>
    <d v="2023-12-02T00:00:00"/>
    <n v="1995.75"/>
  </r>
  <r>
    <x v="73"/>
    <x v="37"/>
    <d v="2024-01-03T00:00:00"/>
    <x v="0"/>
    <x v="1"/>
    <s v="65.678.901/0001-67"/>
    <x v="0"/>
    <s v="MATERIAL E"/>
    <n v="1465"/>
    <x v="1"/>
    <d v="2024-01-04T00:00:00"/>
    <n v="1465"/>
    <m/>
    <m/>
    <m/>
    <m/>
    <m/>
    <m/>
  </r>
  <r>
    <x v="74"/>
    <x v="38"/>
    <d v="2024-05-03T00:00:00"/>
    <x v="1"/>
    <x v="1"/>
    <s v="63.456.789/0001-23"/>
    <x v="1"/>
    <s v="Consultoria"/>
    <n v="8254"/>
    <x v="3"/>
    <d v="2024-05-04T00:00:00"/>
    <n v="2063.5"/>
    <d v="2024-06-02T00:00:00"/>
    <n v="2063.5"/>
    <d v="2024-06-17T00:00:00"/>
    <n v="2063.5"/>
    <d v="2024-07-02T00:00:00"/>
    <n v="2063.5"/>
  </r>
  <r>
    <x v="75"/>
    <x v="12"/>
    <d v="2023-12-12T00:00:00"/>
    <x v="9"/>
    <x v="0"/>
    <s v="52.345.678/0001-56"/>
    <x v="0"/>
    <s v="MATERIAL A"/>
    <n v="1081"/>
    <x v="0"/>
    <d v="2023-12-13T00:00:00"/>
    <n v="360.33333333333331"/>
    <d v="2024-01-11T00:00:00"/>
    <n v="360.33333333333331"/>
    <d v="2024-01-26T00:00:00"/>
    <n v="360.33333333333331"/>
    <m/>
    <m/>
  </r>
  <r>
    <x v="76"/>
    <x v="33"/>
    <d v="2023-09-30T00:00:00"/>
    <x v="5"/>
    <x v="0"/>
    <s v="87.890.123/0001-01"/>
    <x v="1"/>
    <s v="Factoring Fee"/>
    <n v="458"/>
    <x v="2"/>
    <d v="2023-10-01T00:00:00"/>
    <n v="229"/>
    <d v="2023-10-30T00:00:00"/>
    <n v="229"/>
    <m/>
    <m/>
    <m/>
    <m/>
  </r>
  <r>
    <x v="77"/>
    <x v="23"/>
    <d v="2023-08-29T00:00:00"/>
    <x v="7"/>
    <x v="0"/>
    <s v="55.678.901/0001-67"/>
    <x v="2"/>
    <s v="ENVIO INCORRETO"/>
    <n v="1482"/>
    <x v="1"/>
    <d v="2023-08-30T00:00:00"/>
    <n v="1482"/>
    <m/>
    <m/>
    <m/>
    <m/>
    <m/>
    <m/>
  </r>
  <r>
    <x v="78"/>
    <x v="0"/>
    <d v="2024-07-25T00:00:00"/>
    <x v="6"/>
    <x v="1"/>
    <s v="96.789.012/0001-34"/>
    <x v="2"/>
    <s v="EXTRAVIADO"/>
    <n v="2313"/>
    <x v="1"/>
    <d v="2024-07-26T00:00:00"/>
    <n v="2313"/>
    <m/>
    <m/>
    <m/>
    <m/>
    <m/>
    <m/>
  </r>
  <r>
    <x v="79"/>
    <x v="16"/>
    <d v="2023-12-02T00:00:00"/>
    <x v="9"/>
    <x v="0"/>
    <s v="97.890.123/0001-01"/>
    <x v="2"/>
    <s v="ENVIO INCORRETO"/>
    <n v="997"/>
    <x v="1"/>
    <d v="2023-12-03T00:00:00"/>
    <n v="997"/>
    <m/>
    <m/>
    <m/>
    <m/>
    <m/>
    <m/>
  </r>
  <r>
    <x v="80"/>
    <x v="29"/>
    <d v="2024-06-18T00:00:00"/>
    <x v="2"/>
    <x v="1"/>
    <s v="76.789.012/0001-34"/>
    <x v="2"/>
    <s v="ENVIO INCORRETO"/>
    <n v="6409"/>
    <x v="1"/>
    <d v="2024-06-19T00:00:00"/>
    <n v="6409"/>
    <m/>
    <m/>
    <m/>
    <m/>
    <m/>
    <m/>
  </r>
  <r>
    <x v="81"/>
    <x v="31"/>
    <d v="2023-09-18T00:00:00"/>
    <x v="5"/>
    <x v="0"/>
    <s v="33.456.789/0001-23"/>
    <x v="2"/>
    <s v="EXTRAVIADO"/>
    <n v="9435"/>
    <x v="1"/>
    <d v="2023-09-19T00:00:00"/>
    <n v="9435"/>
    <m/>
    <m/>
    <m/>
    <m/>
    <m/>
    <m/>
  </r>
  <r>
    <x v="82"/>
    <x v="30"/>
    <d v="2023-09-03T00:00:00"/>
    <x v="5"/>
    <x v="0"/>
    <s v="01.234.567/0001-89"/>
    <x v="1"/>
    <s v="Pagamentos ADMs"/>
    <n v="9657"/>
    <x v="0"/>
    <d v="2023-09-04T00:00:00"/>
    <n v="3219"/>
    <d v="2023-10-03T00:00:00"/>
    <n v="3219"/>
    <d v="2023-10-18T00:00:00"/>
    <n v="3219"/>
    <m/>
    <m/>
  </r>
  <r>
    <x v="83"/>
    <x v="20"/>
    <d v="2024-05-31T00:00:00"/>
    <x v="1"/>
    <x v="1"/>
    <s v="85.678.901/0001-67"/>
    <x v="1"/>
    <s v="Pagamentos ADMs"/>
    <n v="2139"/>
    <x v="2"/>
    <d v="2024-06-01T00:00:00"/>
    <n v="1069.5"/>
    <d v="2024-06-30T00:00:00"/>
    <n v="1069.5"/>
    <m/>
    <m/>
    <m/>
    <m/>
  </r>
  <r>
    <x v="84"/>
    <x v="32"/>
    <d v="2023-11-23T00:00:00"/>
    <x v="10"/>
    <x v="0"/>
    <s v="23.456.789/0001-23"/>
    <x v="0"/>
    <s v="MATERIAL E"/>
    <n v="5262"/>
    <x v="1"/>
    <d v="2023-11-24T00:00:00"/>
    <n v="5262"/>
    <m/>
    <m/>
    <m/>
    <m/>
    <m/>
    <m/>
  </r>
  <r>
    <x v="85"/>
    <x v="8"/>
    <d v="2023-12-13T00:00:00"/>
    <x v="9"/>
    <x v="0"/>
    <s v="67.890.123/0001-01"/>
    <x v="0"/>
    <s v="MATERIAL D"/>
    <n v="7294"/>
    <x v="2"/>
    <d v="2023-12-14T00:00:00"/>
    <n v="3647"/>
    <d v="2024-01-12T00:00:00"/>
    <n v="3647"/>
    <m/>
    <m/>
    <m/>
    <m/>
  </r>
  <r>
    <x v="86"/>
    <x v="34"/>
    <d v="2024-05-30T00:00:00"/>
    <x v="1"/>
    <x v="1"/>
    <s v="42.345.678/0001-56"/>
    <x v="1"/>
    <s v="Consultoria"/>
    <n v="8906"/>
    <x v="2"/>
    <d v="2024-05-31T00:00:00"/>
    <n v="4453"/>
    <d v="2024-06-29T00:00:00"/>
    <n v="4453"/>
    <m/>
    <m/>
    <m/>
    <m/>
  </r>
  <r>
    <x v="87"/>
    <x v="28"/>
    <d v="2024-04-15T00:00:00"/>
    <x v="11"/>
    <x v="1"/>
    <s v="98.901.234/0001-78"/>
    <x v="1"/>
    <s v="Impostos"/>
    <n v="3965"/>
    <x v="3"/>
    <d v="2024-04-16T00:00:00"/>
    <n v="991.25"/>
    <d v="2024-05-15T00:00:00"/>
    <n v="991.25"/>
    <d v="2024-05-30T00:00:00"/>
    <n v="991.25"/>
    <d v="2024-06-14T00:00:00"/>
    <n v="991.25"/>
  </r>
  <r>
    <x v="88"/>
    <x v="0"/>
    <d v="2024-01-18T00:00:00"/>
    <x v="0"/>
    <x v="1"/>
    <s v="96.789.012/0001-34"/>
    <x v="2"/>
    <s v="EXTRAVIADO"/>
    <n v="7082"/>
    <x v="1"/>
    <d v="2024-01-19T00:00:00"/>
    <n v="7082"/>
    <m/>
    <m/>
    <m/>
    <m/>
    <m/>
    <m/>
  </r>
  <r>
    <x v="89"/>
    <x v="0"/>
    <d v="2024-04-09T00:00:00"/>
    <x v="11"/>
    <x v="1"/>
    <s v="96.789.012/0001-34"/>
    <x v="2"/>
    <s v="EXTRAVIADO"/>
    <n v="2490"/>
    <x v="1"/>
    <d v="2024-04-10T00:00:00"/>
    <n v="2490"/>
    <m/>
    <m/>
    <m/>
    <m/>
    <m/>
    <m/>
  </r>
  <r>
    <x v="90"/>
    <x v="29"/>
    <d v="2024-05-23T00:00:00"/>
    <x v="1"/>
    <x v="1"/>
    <s v="76.789.012/0001-34"/>
    <x v="2"/>
    <s v="ENVIO INCORRETO"/>
    <n v="7198"/>
    <x v="1"/>
    <d v="2024-05-24T00:00:00"/>
    <n v="7198"/>
    <m/>
    <m/>
    <m/>
    <m/>
    <m/>
    <m/>
  </r>
  <r>
    <x v="91"/>
    <x v="30"/>
    <d v="2023-10-08T00:00:00"/>
    <x v="3"/>
    <x v="0"/>
    <s v="01.234.567/0001-89"/>
    <x v="1"/>
    <s v="Pagamentos ADMs"/>
    <n v="9350"/>
    <x v="3"/>
    <d v="2023-10-09T00:00:00"/>
    <n v="2337.5"/>
    <d v="2023-11-07T00:00:00"/>
    <n v="2337.5"/>
    <d v="2023-11-22T00:00:00"/>
    <n v="2337.5"/>
    <d v="2023-12-07T00:00:00"/>
    <n v="2337.5"/>
  </r>
  <r>
    <x v="92"/>
    <x v="27"/>
    <d v="2023-09-23T00:00:00"/>
    <x v="5"/>
    <x v="0"/>
    <s v="78.901.234/0001-78"/>
    <x v="0"/>
    <s v="MATERIAL B"/>
    <n v="7961"/>
    <x v="0"/>
    <d v="2023-09-24T00:00:00"/>
    <n v="2653.6666666666665"/>
    <d v="2023-10-23T00:00:00"/>
    <n v="2653.6666666666665"/>
    <d v="2023-11-07T00:00:00"/>
    <n v="2653.6666666666665"/>
    <m/>
    <m/>
  </r>
  <r>
    <x v="93"/>
    <x v="33"/>
    <d v="2023-10-14T00:00:00"/>
    <x v="3"/>
    <x v="0"/>
    <s v="87.890.123/0001-01"/>
    <x v="1"/>
    <s v="Factoring Fee"/>
    <n v="2627"/>
    <x v="1"/>
    <d v="2023-10-15T00:00:00"/>
    <n v="2627"/>
    <m/>
    <m/>
    <m/>
    <m/>
    <m/>
    <m/>
  </r>
  <r>
    <x v="94"/>
    <x v="6"/>
    <d v="2023-08-15T00:00:00"/>
    <x v="7"/>
    <x v="0"/>
    <s v="34.567.890/0001-90"/>
    <x v="2"/>
    <s v="ENVIO INCORRETO"/>
    <n v="7220"/>
    <x v="1"/>
    <d v="2023-08-16T00:00:00"/>
    <n v="7220"/>
    <m/>
    <m/>
    <m/>
    <m/>
    <m/>
    <m/>
  </r>
  <r>
    <x v="95"/>
    <x v="17"/>
    <d v="2023-10-05T00:00:00"/>
    <x v="3"/>
    <x v="0"/>
    <s v="66.789.012/0001-34"/>
    <x v="1"/>
    <s v="Factoring Fee"/>
    <n v="9017"/>
    <x v="2"/>
    <d v="2023-10-06T00:00:00"/>
    <n v="4508.5"/>
    <d v="2023-11-04T00:00:00"/>
    <n v="4508.5"/>
    <m/>
    <m/>
    <m/>
    <m/>
  </r>
  <r>
    <x v="96"/>
    <x v="19"/>
    <d v="2024-01-28T00:00:00"/>
    <x v="0"/>
    <x v="1"/>
    <s v="43.456.789/0001-23"/>
    <x v="1"/>
    <s v="Pagamentos ADMs"/>
    <n v="1543"/>
    <x v="3"/>
    <d v="2024-01-29T00:00:00"/>
    <n v="385.75"/>
    <d v="2024-02-27T00:00:00"/>
    <n v="385.75"/>
    <d v="2024-03-13T00:00:00"/>
    <n v="385.75"/>
    <d v="2024-03-28T00:00:00"/>
    <n v="385.75"/>
  </r>
  <r>
    <x v="97"/>
    <x v="27"/>
    <d v="2023-07-08T00:00:00"/>
    <x v="6"/>
    <x v="0"/>
    <s v="78.901.234/0001-78"/>
    <x v="0"/>
    <s v="MATERIAL B"/>
    <n v="6512"/>
    <x v="1"/>
    <d v="2023-07-09T00:00:00"/>
    <n v="6512"/>
    <m/>
    <m/>
    <m/>
    <m/>
    <m/>
    <m/>
  </r>
  <r>
    <x v="98"/>
    <x v="8"/>
    <d v="2023-12-16T00:00:00"/>
    <x v="9"/>
    <x v="0"/>
    <s v="67.890.123/0001-01"/>
    <x v="0"/>
    <s v="MATERIAL D"/>
    <n v="6491"/>
    <x v="0"/>
    <d v="2023-12-17T00:00:00"/>
    <n v="2163.6666666666665"/>
    <d v="2024-01-15T00:00:00"/>
    <n v="2163.6666666666665"/>
    <d v="2024-01-30T00:00:00"/>
    <n v="2163.6666666666665"/>
    <m/>
    <m/>
  </r>
  <r>
    <x v="99"/>
    <x v="39"/>
    <d v="2023-05-17T00:00:00"/>
    <x v="1"/>
    <x v="0"/>
    <s v="90.123.456/0001-12"/>
    <x v="1"/>
    <s v="Consultoria"/>
    <n v="9466"/>
    <x v="0"/>
    <d v="2023-05-18T00:00:00"/>
    <n v="3155.3333333333335"/>
    <d v="2023-06-16T00:00:00"/>
    <n v="3155.3333333333335"/>
    <d v="2023-07-01T00:00:00"/>
    <n v="3155.3333333333335"/>
    <m/>
    <m/>
  </r>
  <r>
    <x v="100"/>
    <x v="16"/>
    <d v="2024-05-17T00:00:00"/>
    <x v="1"/>
    <x v="1"/>
    <s v="97.890.123/0001-01"/>
    <x v="2"/>
    <s v="ENVIO INCORRETO"/>
    <n v="8631"/>
    <x v="1"/>
    <d v="2024-05-18T00:00:00"/>
    <n v="8631"/>
    <m/>
    <m/>
    <m/>
    <m/>
    <m/>
    <m/>
  </r>
  <r>
    <x v="101"/>
    <x v="24"/>
    <d v="2023-08-23T00:00:00"/>
    <x v="7"/>
    <x v="0"/>
    <s v="77.890.123/0001-01"/>
    <x v="1"/>
    <s v="Impostos"/>
    <n v="2326"/>
    <x v="2"/>
    <d v="2023-08-24T00:00:00"/>
    <n v="1163"/>
    <d v="2023-09-22T00:00:00"/>
    <n v="1163"/>
    <m/>
    <m/>
    <m/>
    <m/>
  </r>
  <r>
    <x v="102"/>
    <x v="34"/>
    <d v="2024-05-15T00:00:00"/>
    <x v="1"/>
    <x v="1"/>
    <s v="42.345.678/0001-56"/>
    <x v="1"/>
    <s v="Consultoria"/>
    <n v="1400"/>
    <x v="3"/>
    <d v="2024-05-16T00:00:00"/>
    <n v="350"/>
    <d v="2024-06-14T00:00:00"/>
    <n v="350"/>
    <d v="2024-06-29T00:00:00"/>
    <n v="350"/>
    <d v="2024-07-14T00:00:00"/>
    <n v="350"/>
  </r>
  <r>
    <x v="103"/>
    <x v="40"/>
    <d v="2024-07-04T00:00:00"/>
    <x v="6"/>
    <x v="1"/>
    <s v="12.345.678/0001-56"/>
    <x v="2"/>
    <s v="EXTRAVIADO"/>
    <n v="4303"/>
    <x v="1"/>
    <d v="2024-07-05T00:00:00"/>
    <n v="4303"/>
    <m/>
    <m/>
    <m/>
    <m/>
    <m/>
    <m/>
  </r>
  <r>
    <x v="104"/>
    <x v="41"/>
    <d v="2023-10-05T00:00:00"/>
    <x v="3"/>
    <x v="0"/>
    <s v="18.901.234/0001-78"/>
    <x v="0"/>
    <s v="MATERIAL D"/>
    <n v="2355"/>
    <x v="1"/>
    <d v="2023-10-06T00:00:00"/>
    <n v="2355"/>
    <m/>
    <m/>
    <m/>
    <m/>
    <m/>
    <m/>
  </r>
  <r>
    <x v="105"/>
    <x v="16"/>
    <d v="2023-11-25T00:00:00"/>
    <x v="10"/>
    <x v="0"/>
    <s v="97.890.123/0001-01"/>
    <x v="2"/>
    <s v="ENVIO INCORRETO"/>
    <n v="701"/>
    <x v="1"/>
    <d v="2023-11-26T00:00:00"/>
    <n v="701"/>
    <m/>
    <m/>
    <m/>
    <m/>
    <m/>
    <m/>
  </r>
  <r>
    <x v="106"/>
    <x v="35"/>
    <d v="2023-08-15T00:00:00"/>
    <x v="7"/>
    <x v="0"/>
    <s v="21.234.567/0001-89"/>
    <x v="1"/>
    <s v="Consultoria"/>
    <n v="950"/>
    <x v="2"/>
    <d v="2023-08-16T00:00:00"/>
    <n v="475"/>
    <d v="2023-09-14T00:00:00"/>
    <n v="475"/>
    <m/>
    <m/>
    <m/>
    <m/>
  </r>
  <r>
    <x v="107"/>
    <x v="38"/>
    <d v="2024-01-11T00:00:00"/>
    <x v="0"/>
    <x v="1"/>
    <s v="63.456.789/0001-23"/>
    <x v="1"/>
    <s v="Consultoria"/>
    <n v="2406"/>
    <x v="1"/>
    <d v="2024-01-12T00:00:00"/>
    <n v="2406"/>
    <m/>
    <m/>
    <m/>
    <m/>
    <m/>
    <m/>
  </r>
  <r>
    <x v="108"/>
    <x v="3"/>
    <d v="2023-12-08T00:00:00"/>
    <x v="9"/>
    <x v="0"/>
    <s v="99.012.345/0001-45"/>
    <x v="0"/>
    <s v="MATERIAL B"/>
    <n v="5721"/>
    <x v="3"/>
    <d v="2023-12-09T00:00:00"/>
    <n v="1430.25"/>
    <d v="2024-01-07T00:00:00"/>
    <n v="1430.25"/>
    <d v="2024-01-22T00:00:00"/>
    <n v="1430.25"/>
    <d v="2024-02-06T00:00:00"/>
    <n v="1430.25"/>
  </r>
  <r>
    <x v="109"/>
    <x v="42"/>
    <d v="2023-12-10T00:00:00"/>
    <x v="9"/>
    <x v="0"/>
    <s v="31.234.567/0001-89"/>
    <x v="0"/>
    <s v="MATERIAL A"/>
    <n v="9351"/>
    <x v="0"/>
    <d v="2023-12-11T00:00:00"/>
    <n v="3117"/>
    <d v="2024-01-09T00:00:00"/>
    <n v="3117"/>
    <d v="2024-01-24T00:00:00"/>
    <n v="3117"/>
    <m/>
    <m/>
  </r>
  <r>
    <x v="110"/>
    <x v="37"/>
    <d v="2024-04-11T00:00:00"/>
    <x v="11"/>
    <x v="1"/>
    <s v="65.678.901/0001-67"/>
    <x v="0"/>
    <s v="MATERIAL E"/>
    <n v="8439"/>
    <x v="0"/>
    <d v="2024-04-12T00:00:00"/>
    <n v="2813"/>
    <d v="2024-05-11T00:00:00"/>
    <n v="2813"/>
    <d v="2024-05-26T00:00:00"/>
    <n v="2813"/>
    <m/>
    <m/>
  </r>
  <r>
    <x v="111"/>
    <x v="4"/>
    <d v="2023-04-22T00:00:00"/>
    <x v="11"/>
    <x v="0"/>
    <s v="88.901.234/0001-78"/>
    <x v="0"/>
    <s v="MATERIAL D"/>
    <n v="7019"/>
    <x v="0"/>
    <d v="2023-04-23T00:00:00"/>
    <n v="2339.6666666666665"/>
    <d v="2023-05-22T00:00:00"/>
    <n v="2339.6666666666665"/>
    <d v="2023-06-06T00:00:00"/>
    <n v="2339.6666666666665"/>
    <m/>
    <m/>
  </r>
  <r>
    <x v="112"/>
    <x v="21"/>
    <d v="2023-08-17T00:00:00"/>
    <x v="7"/>
    <x v="0"/>
    <s v="20.123.456/0001-12"/>
    <x v="0"/>
    <s v="MATERIAL B"/>
    <n v="8047"/>
    <x v="3"/>
    <d v="2023-08-18T00:00:00"/>
    <n v="2011.75"/>
    <d v="2023-09-16T00:00:00"/>
    <n v="2011.75"/>
    <d v="2023-10-01T00:00:00"/>
    <n v="2011.75"/>
    <d v="2023-10-16T00:00:00"/>
    <n v="2011.75"/>
  </r>
  <r>
    <x v="113"/>
    <x v="43"/>
    <d v="2023-09-04T00:00:00"/>
    <x v="5"/>
    <x v="0"/>
    <s v="64.567.890/0001-90"/>
    <x v="1"/>
    <s v="Pagamentos ADMs"/>
    <n v="9568"/>
    <x v="0"/>
    <d v="2023-09-05T00:00:00"/>
    <n v="3189.3333333333335"/>
    <d v="2023-10-04T00:00:00"/>
    <n v="3189.3333333333335"/>
    <d v="2023-10-19T00:00:00"/>
    <n v="3189.3333333333335"/>
    <m/>
    <m/>
  </r>
  <r>
    <x v="114"/>
    <x v="11"/>
    <d v="2023-10-11T00:00:00"/>
    <x v="3"/>
    <x v="0"/>
    <s v="22.345.678/0001-56"/>
    <x v="1"/>
    <s v="Pagamentos ADMs"/>
    <n v="4355"/>
    <x v="0"/>
    <d v="2023-10-12T00:00:00"/>
    <n v="1451.6666666666667"/>
    <d v="2023-11-10T00:00:00"/>
    <n v="1451.6666666666667"/>
    <d v="2023-11-25T00:00:00"/>
    <n v="1451.6666666666667"/>
    <m/>
    <m/>
  </r>
  <r>
    <x v="115"/>
    <x v="26"/>
    <d v="2023-11-08T00:00:00"/>
    <x v="10"/>
    <x v="0"/>
    <s v="41.234.567/0001-89"/>
    <x v="0"/>
    <s v="MATERIAL B"/>
    <n v="9168"/>
    <x v="0"/>
    <d v="2023-11-09T00:00:00"/>
    <n v="3056"/>
    <d v="2023-12-08T00:00:00"/>
    <n v="3056"/>
    <d v="2023-12-23T00:00:00"/>
    <n v="3056"/>
    <m/>
    <m/>
  </r>
  <r>
    <x v="116"/>
    <x v="12"/>
    <d v="2024-05-09T00:00:00"/>
    <x v="1"/>
    <x v="1"/>
    <s v="52.345.678/0001-56"/>
    <x v="0"/>
    <s v="MATERIAL A"/>
    <n v="1151"/>
    <x v="2"/>
    <d v="2024-05-10T00:00:00"/>
    <n v="575.5"/>
    <d v="2024-06-08T00:00:00"/>
    <n v="575.5"/>
    <m/>
    <m/>
    <m/>
    <m/>
  </r>
  <r>
    <x v="117"/>
    <x v="22"/>
    <d v="2024-09-01T00:00:00"/>
    <x v="5"/>
    <x v="1"/>
    <s v="75.678.901/0001-67"/>
    <x v="2"/>
    <s v="EXTRAVIADO"/>
    <n v="9981"/>
    <x v="1"/>
    <d v="2024-09-02T00:00:00"/>
    <n v="9981"/>
    <m/>
    <m/>
    <m/>
    <m/>
    <m/>
    <m/>
  </r>
  <r>
    <x v="118"/>
    <x v="27"/>
    <d v="2023-08-05T00:00:00"/>
    <x v="7"/>
    <x v="0"/>
    <s v="78.901.234/0001-78"/>
    <x v="0"/>
    <s v="MATERIAL B"/>
    <n v="6993"/>
    <x v="3"/>
    <d v="2023-08-06T00:00:00"/>
    <n v="1748.25"/>
    <d v="2023-09-04T00:00:00"/>
    <n v="1748.25"/>
    <d v="2023-09-19T00:00:00"/>
    <n v="1748.25"/>
    <d v="2023-10-04T00:00:00"/>
    <n v="1748.25"/>
  </r>
  <r>
    <x v="119"/>
    <x v="14"/>
    <d v="2024-01-23T00:00:00"/>
    <x v="0"/>
    <x v="1"/>
    <s v="10.123.456/0001-12"/>
    <x v="0"/>
    <s v="MATERIAL A"/>
    <n v="9724"/>
    <x v="3"/>
    <d v="2024-01-24T00:00:00"/>
    <n v="2431"/>
    <d v="2024-02-22T00:00:00"/>
    <n v="2431"/>
    <d v="2024-03-08T00:00:00"/>
    <n v="2431"/>
    <d v="2024-03-23T00:00:00"/>
    <n v="2431"/>
  </r>
  <r>
    <x v="120"/>
    <x v="14"/>
    <d v="2024-02-20T00:00:00"/>
    <x v="4"/>
    <x v="1"/>
    <s v="10.123.456/0001-12"/>
    <x v="0"/>
    <s v="MATERIAL A"/>
    <n v="9125"/>
    <x v="2"/>
    <d v="2024-02-21T00:00:00"/>
    <n v="4562.5"/>
    <d v="2024-03-21T00:00:00"/>
    <n v="4562.5"/>
    <m/>
    <m/>
    <m/>
    <m/>
  </r>
  <r>
    <x v="121"/>
    <x v="37"/>
    <d v="2024-02-06T00:00:00"/>
    <x v="4"/>
    <x v="1"/>
    <s v="65.678.901/0001-67"/>
    <x v="0"/>
    <s v="MATERIAL E"/>
    <n v="4627"/>
    <x v="2"/>
    <d v="2024-02-07T00:00:00"/>
    <n v="2313.5"/>
    <d v="2024-03-07T00:00:00"/>
    <n v="2313.5"/>
    <m/>
    <m/>
    <m/>
    <m/>
  </r>
  <r>
    <x v="122"/>
    <x v="44"/>
    <d v="2023-08-06T00:00:00"/>
    <x v="7"/>
    <x v="0"/>
    <s v="74.567.890/0001-90"/>
    <x v="0"/>
    <s v="MATERIAL C"/>
    <n v="7757"/>
    <x v="0"/>
    <d v="2023-08-07T00:00:00"/>
    <n v="2585.6666666666665"/>
    <d v="2023-09-05T00:00:00"/>
    <n v="2585.6666666666665"/>
    <d v="2023-09-20T00:00:00"/>
    <n v="2585.6666666666665"/>
    <m/>
    <m/>
  </r>
  <r>
    <x v="123"/>
    <x v="4"/>
    <d v="2023-11-16T00:00:00"/>
    <x v="10"/>
    <x v="0"/>
    <s v="88.901.234/0001-78"/>
    <x v="0"/>
    <s v="MATERIAL D"/>
    <n v="8321"/>
    <x v="1"/>
    <d v="2023-11-17T00:00:00"/>
    <n v="8321"/>
    <m/>
    <m/>
    <m/>
    <m/>
    <m/>
    <m/>
  </r>
  <r>
    <x v="124"/>
    <x v="16"/>
    <d v="2023-10-04T00:00:00"/>
    <x v="3"/>
    <x v="0"/>
    <s v="97.890.123/0001-01"/>
    <x v="2"/>
    <s v="ENVIO INCORRETO"/>
    <n v="6861"/>
    <x v="1"/>
    <d v="2023-10-05T00:00:00"/>
    <n v="6861"/>
    <m/>
    <m/>
    <m/>
    <m/>
    <m/>
    <m/>
  </r>
  <r>
    <x v="125"/>
    <x v="21"/>
    <d v="2024-03-07T00:00:00"/>
    <x v="8"/>
    <x v="1"/>
    <s v="20.123.456/0001-12"/>
    <x v="0"/>
    <s v="MATERIAL B"/>
    <n v="1217"/>
    <x v="2"/>
    <d v="2024-03-08T00:00:00"/>
    <n v="608.5"/>
    <d v="2024-04-06T00:00:00"/>
    <n v="608.5"/>
    <m/>
    <m/>
    <m/>
    <m/>
  </r>
  <r>
    <x v="126"/>
    <x v="29"/>
    <d v="2024-08-17T00:00:00"/>
    <x v="7"/>
    <x v="1"/>
    <s v="76.789.012/0001-34"/>
    <x v="2"/>
    <s v="ENVIO INCORRETO"/>
    <n v="8766"/>
    <x v="1"/>
    <d v="2024-08-18T00:00:00"/>
    <n v="8766"/>
    <m/>
    <m/>
    <m/>
    <m/>
    <m/>
    <m/>
  </r>
  <r>
    <x v="127"/>
    <x v="39"/>
    <d v="2023-11-10T00:00:00"/>
    <x v="10"/>
    <x v="0"/>
    <s v="90.123.456/0001-12"/>
    <x v="1"/>
    <s v="Consultoria"/>
    <n v="7302"/>
    <x v="1"/>
    <d v="2023-11-11T00:00:00"/>
    <n v="7302"/>
    <m/>
    <m/>
    <m/>
    <m/>
    <m/>
    <m/>
  </r>
  <r>
    <x v="128"/>
    <x v="18"/>
    <d v="2024-05-13T00:00:00"/>
    <x v="1"/>
    <x v="1"/>
    <s v="30.123.456/0001-12"/>
    <x v="0"/>
    <s v="MATERIAL D"/>
    <n v="3741"/>
    <x v="0"/>
    <d v="2024-05-14T00:00:00"/>
    <n v="1247"/>
    <d v="2024-06-12T00:00:00"/>
    <n v="1247"/>
    <d v="2024-06-27T00:00:00"/>
    <n v="1247"/>
    <m/>
    <m/>
  </r>
  <r>
    <x v="129"/>
    <x v="29"/>
    <d v="2023-08-21T00:00:00"/>
    <x v="7"/>
    <x v="0"/>
    <s v="76.789.012/0001-34"/>
    <x v="2"/>
    <s v="ENVIO INCORRETO"/>
    <n v="1542"/>
    <x v="1"/>
    <d v="2023-08-22T00:00:00"/>
    <n v="1542"/>
    <m/>
    <m/>
    <m/>
    <m/>
    <m/>
    <m/>
  </r>
  <r>
    <x v="130"/>
    <x v="9"/>
    <d v="2024-06-03T00:00:00"/>
    <x v="2"/>
    <x v="1"/>
    <s v="54.567.890/0001-90"/>
    <x v="2"/>
    <s v="EXTRAVIADO"/>
    <n v="6146"/>
    <x v="1"/>
    <d v="2024-06-04T00:00:00"/>
    <n v="6146"/>
    <m/>
    <m/>
    <m/>
    <m/>
    <m/>
    <m/>
  </r>
  <r>
    <x v="131"/>
    <x v="29"/>
    <d v="2024-04-19T00:00:00"/>
    <x v="11"/>
    <x v="1"/>
    <s v="76.789.012/0001-34"/>
    <x v="2"/>
    <s v="ENVIO INCORRETO"/>
    <n v="6042"/>
    <x v="1"/>
    <d v="2024-04-20T00:00:00"/>
    <n v="6042"/>
    <m/>
    <m/>
    <m/>
    <m/>
    <m/>
    <m/>
  </r>
  <r>
    <x v="132"/>
    <x v="13"/>
    <d v="2024-07-14T00:00:00"/>
    <x v="6"/>
    <x v="1"/>
    <s v="09.012.345/0001-45"/>
    <x v="0"/>
    <s v="MATERIAL D"/>
    <n v="9714"/>
    <x v="2"/>
    <d v="2024-07-15T00:00:00"/>
    <n v="4857"/>
    <d v="2024-08-13T00:00:00"/>
    <n v="4857"/>
    <m/>
    <m/>
    <m/>
    <m/>
  </r>
  <r>
    <x v="133"/>
    <x v="8"/>
    <d v="2024-02-21T00:00:00"/>
    <x v="4"/>
    <x v="1"/>
    <s v="67.890.123/0001-01"/>
    <x v="0"/>
    <s v="MATERIAL D"/>
    <n v="7330"/>
    <x v="3"/>
    <d v="2024-02-22T00:00:00"/>
    <n v="1832.5"/>
    <d v="2024-03-22T00:00:00"/>
    <n v="1832.5"/>
    <d v="2024-04-06T00:00:00"/>
    <n v="1832.5"/>
    <d v="2024-04-21T00:00:00"/>
    <n v="1832.5"/>
  </r>
  <r>
    <x v="134"/>
    <x v="4"/>
    <d v="2024-04-09T00:00:00"/>
    <x v="11"/>
    <x v="1"/>
    <s v="88.901.234/0001-78"/>
    <x v="0"/>
    <s v="MATERIAL D"/>
    <n v="1691"/>
    <x v="1"/>
    <d v="2024-04-10T00:00:00"/>
    <n v="1691"/>
    <m/>
    <m/>
    <m/>
    <m/>
    <m/>
    <m/>
  </r>
  <r>
    <x v="135"/>
    <x v="39"/>
    <d v="2023-06-05T00:00:00"/>
    <x v="2"/>
    <x v="0"/>
    <s v="90.123.456/0001-12"/>
    <x v="1"/>
    <s v="Consultoria"/>
    <n v="5737"/>
    <x v="2"/>
    <d v="2023-06-06T00:00:00"/>
    <n v="2868.5"/>
    <d v="2023-07-05T00:00:00"/>
    <n v="2868.5"/>
    <m/>
    <m/>
    <m/>
    <m/>
  </r>
  <r>
    <x v="136"/>
    <x v="18"/>
    <d v="2023-08-21T00:00:00"/>
    <x v="7"/>
    <x v="0"/>
    <s v="30.123.456/0001-12"/>
    <x v="0"/>
    <s v="MATERIAL D"/>
    <n v="7363"/>
    <x v="0"/>
    <d v="2023-08-22T00:00:00"/>
    <n v="2454.3333333333335"/>
    <d v="2023-09-20T00:00:00"/>
    <n v="2454.3333333333335"/>
    <d v="2023-10-05T00:00:00"/>
    <n v="2454.3333333333335"/>
    <m/>
    <m/>
  </r>
  <r>
    <x v="137"/>
    <x v="36"/>
    <d v="2023-07-28T00:00:00"/>
    <x v="6"/>
    <x v="0"/>
    <s v="29.012.345/0001-45"/>
    <x v="0"/>
    <s v="MATERIAL B"/>
    <n v="9467"/>
    <x v="1"/>
    <d v="2023-07-29T00:00:00"/>
    <n v="9467"/>
    <m/>
    <m/>
    <m/>
    <m/>
    <m/>
    <m/>
  </r>
  <r>
    <x v="138"/>
    <x v="9"/>
    <d v="2023-09-14T00:00:00"/>
    <x v="5"/>
    <x v="0"/>
    <s v="54.567.890/0001-90"/>
    <x v="2"/>
    <s v="EXTRAVIADO"/>
    <n v="5854"/>
    <x v="1"/>
    <d v="2023-09-15T00:00:00"/>
    <n v="5854"/>
    <m/>
    <m/>
    <m/>
    <m/>
    <m/>
    <m/>
  </r>
  <r>
    <x v="139"/>
    <x v="45"/>
    <d v="2024-08-02T00:00:00"/>
    <x v="7"/>
    <x v="1"/>
    <s v="19.012.345/0001-45"/>
    <x v="1"/>
    <s v="Impostos"/>
    <n v="3772"/>
    <x v="1"/>
    <d v="2024-08-03T00:00:00"/>
    <n v="3772"/>
    <m/>
    <m/>
    <m/>
    <m/>
    <m/>
    <m/>
  </r>
  <r>
    <x v="140"/>
    <x v="25"/>
    <d v="2023-10-20T00:00:00"/>
    <x v="3"/>
    <x v="0"/>
    <s v="11.234.567/0001-89"/>
    <x v="0"/>
    <s v="MATERIAL C"/>
    <n v="7231"/>
    <x v="1"/>
    <d v="2023-10-21T00:00:00"/>
    <n v="7231"/>
    <m/>
    <m/>
    <m/>
    <m/>
    <m/>
    <m/>
  </r>
  <r>
    <x v="141"/>
    <x v="24"/>
    <d v="2023-08-19T00:00:00"/>
    <x v="7"/>
    <x v="0"/>
    <s v="77.890.123/0001-01"/>
    <x v="1"/>
    <s v="Impostos"/>
    <n v="2181"/>
    <x v="1"/>
    <d v="2023-08-20T00:00:00"/>
    <n v="2181"/>
    <m/>
    <m/>
    <m/>
    <m/>
    <m/>
    <m/>
  </r>
  <r>
    <x v="142"/>
    <x v="38"/>
    <d v="2023-05-31T00:00:00"/>
    <x v="1"/>
    <x v="0"/>
    <s v="63.456.789/0001-23"/>
    <x v="1"/>
    <s v="Consultoria"/>
    <n v="8843"/>
    <x v="1"/>
    <d v="2023-06-01T00:00:00"/>
    <n v="8843"/>
    <m/>
    <m/>
    <m/>
    <m/>
    <m/>
    <m/>
  </r>
  <r>
    <x v="143"/>
    <x v="45"/>
    <d v="2023-12-31T00:00:00"/>
    <x v="9"/>
    <x v="0"/>
    <s v="19.012.345/0001-45"/>
    <x v="1"/>
    <s v="Impostos"/>
    <n v="8809"/>
    <x v="1"/>
    <d v="2024-01-01T00:00:00"/>
    <n v="8809"/>
    <m/>
    <m/>
    <m/>
    <m/>
    <m/>
    <m/>
  </r>
  <r>
    <x v="144"/>
    <x v="16"/>
    <d v="2024-03-03T00:00:00"/>
    <x v="8"/>
    <x v="1"/>
    <s v="97.890.123/0001-01"/>
    <x v="2"/>
    <s v="ENVIO INCORRETO"/>
    <n v="2890"/>
    <x v="1"/>
    <d v="2024-03-04T00:00:00"/>
    <n v="2890"/>
    <m/>
    <m/>
    <m/>
    <m/>
    <m/>
    <m/>
  </r>
  <r>
    <x v="145"/>
    <x v="44"/>
    <d v="2023-10-22T00:00:00"/>
    <x v="3"/>
    <x v="0"/>
    <s v="74.567.890/0001-90"/>
    <x v="0"/>
    <s v="MATERIAL C"/>
    <n v="3001"/>
    <x v="2"/>
    <d v="2023-10-23T00:00:00"/>
    <n v="1500.5"/>
    <d v="2023-11-21T00:00:00"/>
    <n v="1500.5"/>
    <m/>
    <m/>
    <m/>
    <m/>
  </r>
  <r>
    <x v="146"/>
    <x v="41"/>
    <d v="2024-04-21T00:00:00"/>
    <x v="11"/>
    <x v="1"/>
    <s v="18.901.234/0001-78"/>
    <x v="0"/>
    <s v="MATERIAL D"/>
    <n v="3567"/>
    <x v="0"/>
    <d v="2024-04-22T00:00:00"/>
    <n v="1189"/>
    <d v="2024-05-21T00:00:00"/>
    <n v="1189"/>
    <d v="2024-06-05T00:00:00"/>
    <n v="1189"/>
    <m/>
    <m/>
  </r>
  <r>
    <x v="147"/>
    <x v="35"/>
    <d v="2023-10-17T00:00:00"/>
    <x v="3"/>
    <x v="0"/>
    <s v="21.234.567/0001-89"/>
    <x v="1"/>
    <s v="Consultoria"/>
    <n v="4135"/>
    <x v="0"/>
    <d v="2023-10-18T00:00:00"/>
    <n v="1378.3333333333333"/>
    <d v="2023-11-16T00:00:00"/>
    <n v="1378.3333333333333"/>
    <d v="2023-12-01T00:00:00"/>
    <n v="1378.3333333333333"/>
    <m/>
    <m/>
  </r>
  <r>
    <x v="148"/>
    <x v="42"/>
    <d v="2023-09-22T00:00:00"/>
    <x v="5"/>
    <x v="0"/>
    <s v="31.234.567/0001-89"/>
    <x v="0"/>
    <s v="MATERIAL A"/>
    <n v="3088"/>
    <x v="3"/>
    <d v="2023-09-23T00:00:00"/>
    <n v="772"/>
    <d v="2023-10-22T00:00:00"/>
    <n v="772"/>
    <d v="2023-11-06T00:00:00"/>
    <n v="772"/>
    <d v="2023-11-21T00:00:00"/>
    <n v="772"/>
  </r>
  <r>
    <x v="149"/>
    <x v="25"/>
    <d v="2023-10-09T00:00:00"/>
    <x v="3"/>
    <x v="0"/>
    <s v="11.234.567/0001-89"/>
    <x v="0"/>
    <s v="MATERIAL C"/>
    <n v="5049"/>
    <x v="3"/>
    <d v="2023-10-10T00:00:00"/>
    <n v="1262.25"/>
    <d v="2023-11-08T00:00:00"/>
    <n v="1262.25"/>
    <d v="2023-11-23T00:00:00"/>
    <n v="1262.25"/>
    <d v="2023-12-08T00:00:00"/>
    <n v="1262.25"/>
  </r>
  <r>
    <x v="150"/>
    <x v="25"/>
    <d v="2024-02-02T00:00:00"/>
    <x v="4"/>
    <x v="1"/>
    <s v="11.234.567/0001-89"/>
    <x v="0"/>
    <s v="MATERIAL C"/>
    <n v="5827"/>
    <x v="0"/>
    <d v="2024-02-03T00:00:00"/>
    <n v="1942.3333333333333"/>
    <d v="2024-03-03T00:00:00"/>
    <n v="1942.3333333333333"/>
    <d v="2024-03-18T00:00:00"/>
    <n v="1942.3333333333333"/>
    <m/>
    <m/>
  </r>
  <r>
    <x v="151"/>
    <x v="32"/>
    <d v="2024-07-29T00:00:00"/>
    <x v="6"/>
    <x v="1"/>
    <s v="23.456.789/0001-23"/>
    <x v="0"/>
    <s v="MATERIAL E"/>
    <n v="2016"/>
    <x v="1"/>
    <d v="2024-07-30T00:00:00"/>
    <n v="2016"/>
    <m/>
    <m/>
    <m/>
    <m/>
    <m/>
    <m/>
  </r>
  <r>
    <x v="152"/>
    <x v="23"/>
    <d v="2024-01-20T00:00:00"/>
    <x v="0"/>
    <x v="1"/>
    <s v="55.678.901/0001-67"/>
    <x v="2"/>
    <s v="ENVIO INCORRETO"/>
    <n v="1311"/>
    <x v="1"/>
    <d v="2024-01-21T00:00:00"/>
    <n v="1311"/>
    <m/>
    <m/>
    <m/>
    <m/>
    <m/>
    <m/>
  </r>
  <r>
    <x v="153"/>
    <x v="27"/>
    <d v="2023-10-02T00:00:00"/>
    <x v="3"/>
    <x v="0"/>
    <s v="78.901.234/0001-78"/>
    <x v="0"/>
    <s v="MATERIAL B"/>
    <n v="6775"/>
    <x v="1"/>
    <d v="2023-10-03T00:00:00"/>
    <n v="6775"/>
    <m/>
    <m/>
    <m/>
    <m/>
    <m/>
    <m/>
  </r>
  <r>
    <x v="154"/>
    <x v="16"/>
    <d v="2023-05-20T00:00:00"/>
    <x v="1"/>
    <x v="0"/>
    <s v="97.890.123/0001-01"/>
    <x v="2"/>
    <s v="ENVIO INCORRETO"/>
    <n v="3480"/>
    <x v="1"/>
    <d v="2023-05-21T00:00:00"/>
    <n v="3480"/>
    <m/>
    <m/>
    <m/>
    <m/>
    <m/>
    <m/>
  </r>
  <r>
    <x v="155"/>
    <x v="29"/>
    <d v="2024-03-11T00:00:00"/>
    <x v="8"/>
    <x v="1"/>
    <s v="76.789.012/0001-34"/>
    <x v="2"/>
    <s v="ENVIO INCORRETO"/>
    <n v="8798"/>
    <x v="1"/>
    <d v="2024-03-12T00:00:00"/>
    <n v="8798"/>
    <m/>
    <m/>
    <m/>
    <m/>
    <m/>
    <m/>
  </r>
  <r>
    <x v="156"/>
    <x v="43"/>
    <d v="2024-03-12T00:00:00"/>
    <x v="8"/>
    <x v="1"/>
    <s v="64.567.890/0001-90"/>
    <x v="1"/>
    <s v="Pagamentos ADMs"/>
    <n v="6614"/>
    <x v="3"/>
    <d v="2024-03-13T00:00:00"/>
    <n v="1653.5"/>
    <d v="2024-04-11T00:00:00"/>
    <n v="1653.5"/>
    <d v="2024-04-26T00:00:00"/>
    <n v="1653.5"/>
    <d v="2024-05-11T00:00:00"/>
    <n v="1653.5"/>
  </r>
  <r>
    <x v="157"/>
    <x v="20"/>
    <d v="2023-06-10T00:00:00"/>
    <x v="2"/>
    <x v="0"/>
    <s v="85.678.901/0001-67"/>
    <x v="1"/>
    <s v="Pagamentos ADMs"/>
    <n v="6729"/>
    <x v="0"/>
    <d v="2023-06-11T00:00:00"/>
    <n v="2243"/>
    <d v="2023-07-10T00:00:00"/>
    <n v="2243"/>
    <d v="2023-07-25T00:00:00"/>
    <n v="2243"/>
    <m/>
    <m/>
  </r>
  <r>
    <x v="158"/>
    <x v="0"/>
    <d v="2024-05-18T00:00:00"/>
    <x v="1"/>
    <x v="1"/>
    <s v="96.789.012/0001-34"/>
    <x v="2"/>
    <s v="EXTRAVIADO"/>
    <n v="4572"/>
    <x v="1"/>
    <d v="2024-05-19T00:00:00"/>
    <n v="4572"/>
    <m/>
    <m/>
    <m/>
    <m/>
    <m/>
    <m/>
  </r>
  <r>
    <x v="159"/>
    <x v="13"/>
    <d v="2024-02-20T00:00:00"/>
    <x v="4"/>
    <x v="1"/>
    <s v="09.012.345/0001-45"/>
    <x v="0"/>
    <s v="MATERIAL D"/>
    <n v="7623"/>
    <x v="1"/>
    <d v="2024-02-21T00:00:00"/>
    <n v="7623"/>
    <m/>
    <m/>
    <m/>
    <m/>
    <m/>
    <m/>
  </r>
  <r>
    <x v="160"/>
    <x v="27"/>
    <d v="2023-10-03T00:00:00"/>
    <x v="3"/>
    <x v="0"/>
    <s v="78.901.234/0001-78"/>
    <x v="0"/>
    <s v="MATERIAL B"/>
    <n v="8345"/>
    <x v="2"/>
    <d v="2023-10-04T00:00:00"/>
    <n v="4172.5"/>
    <d v="2023-11-02T00:00:00"/>
    <n v="4172.5"/>
    <m/>
    <m/>
    <m/>
    <m/>
  </r>
  <r>
    <x v="161"/>
    <x v="38"/>
    <d v="2024-04-08T00:00:00"/>
    <x v="11"/>
    <x v="1"/>
    <s v="63.456.789/0001-23"/>
    <x v="1"/>
    <s v="Consultoria"/>
    <n v="9714"/>
    <x v="1"/>
    <d v="2024-04-09T00:00:00"/>
    <n v="9714"/>
    <m/>
    <m/>
    <m/>
    <m/>
    <m/>
    <m/>
  </r>
  <r>
    <x v="162"/>
    <x v="35"/>
    <d v="2023-08-01T00:00:00"/>
    <x v="7"/>
    <x v="0"/>
    <s v="21.234.567/0001-89"/>
    <x v="1"/>
    <s v="Consultoria"/>
    <n v="8895"/>
    <x v="3"/>
    <d v="2023-08-02T00:00:00"/>
    <n v="2223.75"/>
    <d v="2023-08-31T00:00:00"/>
    <n v="2223.75"/>
    <d v="2023-09-15T00:00:00"/>
    <n v="2223.75"/>
    <d v="2023-09-30T00:00:00"/>
    <n v="2223.75"/>
  </r>
  <r>
    <x v="163"/>
    <x v="19"/>
    <d v="2023-08-14T00:00:00"/>
    <x v="7"/>
    <x v="0"/>
    <s v="43.456.789/0001-23"/>
    <x v="1"/>
    <s v="Pagamentos ADMs"/>
    <n v="5276"/>
    <x v="3"/>
    <d v="2023-08-15T00:00:00"/>
    <n v="1319"/>
    <d v="2023-09-13T00:00:00"/>
    <n v="1319"/>
    <d v="2023-09-28T00:00:00"/>
    <n v="1319"/>
    <d v="2023-10-13T00:00:00"/>
    <n v="1319"/>
  </r>
  <r>
    <x v="164"/>
    <x v="37"/>
    <d v="2024-04-02T00:00:00"/>
    <x v="11"/>
    <x v="1"/>
    <s v="65.678.901/0001-67"/>
    <x v="0"/>
    <s v="MATERIAL E"/>
    <n v="2495"/>
    <x v="0"/>
    <d v="2024-04-03T00:00:00"/>
    <n v="831.66666666666663"/>
    <d v="2024-05-02T00:00:00"/>
    <n v="831.66666666666663"/>
    <d v="2024-05-17T00:00:00"/>
    <n v="831.66666666666663"/>
    <m/>
    <m/>
  </r>
  <r>
    <x v="165"/>
    <x v="35"/>
    <d v="2023-10-07T00:00:00"/>
    <x v="3"/>
    <x v="0"/>
    <s v="21.234.567/0001-89"/>
    <x v="1"/>
    <s v="Consultoria"/>
    <n v="4841"/>
    <x v="1"/>
    <d v="2023-10-08T00:00:00"/>
    <n v="4841"/>
    <m/>
    <m/>
    <m/>
    <m/>
    <m/>
    <m/>
  </r>
  <r>
    <x v="166"/>
    <x v="5"/>
    <d v="2023-11-17T00:00:00"/>
    <x v="10"/>
    <x v="0"/>
    <s v="89.012.345/0001-45"/>
    <x v="0"/>
    <s v="MATERIAL A"/>
    <n v="2405"/>
    <x v="3"/>
    <d v="2023-11-18T00:00:00"/>
    <n v="601.25"/>
    <d v="2023-12-17T00:00:00"/>
    <n v="601.25"/>
    <d v="2024-01-01T00:00:00"/>
    <n v="601.25"/>
    <d v="2024-01-16T00:00:00"/>
    <n v="601.25"/>
  </r>
  <r>
    <x v="167"/>
    <x v="45"/>
    <d v="2024-02-24T00:00:00"/>
    <x v="4"/>
    <x v="1"/>
    <s v="19.012.345/0001-45"/>
    <x v="1"/>
    <s v="Impostos"/>
    <n v="2708"/>
    <x v="0"/>
    <d v="2024-02-25T00:00:00"/>
    <n v="902.66666666666663"/>
    <d v="2024-03-25T00:00:00"/>
    <n v="902.66666666666663"/>
    <d v="2024-04-09T00:00:00"/>
    <n v="902.66666666666663"/>
    <m/>
    <m/>
  </r>
  <r>
    <x v="168"/>
    <x v="41"/>
    <d v="2023-11-19T00:00:00"/>
    <x v="10"/>
    <x v="0"/>
    <s v="18.901.234/0001-78"/>
    <x v="0"/>
    <s v="MATERIAL D"/>
    <n v="5056"/>
    <x v="0"/>
    <d v="2023-11-20T00:00:00"/>
    <n v="1685.3333333333333"/>
    <d v="2023-12-19T00:00:00"/>
    <n v="1685.3333333333333"/>
    <d v="2024-01-03T00:00:00"/>
    <n v="1685.3333333333333"/>
    <m/>
    <m/>
  </r>
  <r>
    <x v="169"/>
    <x v="34"/>
    <d v="2023-07-03T00:00:00"/>
    <x v="6"/>
    <x v="0"/>
    <s v="42.345.678/0001-56"/>
    <x v="1"/>
    <s v="Consultoria"/>
    <n v="8323"/>
    <x v="2"/>
    <d v="2023-07-04T00:00:00"/>
    <n v="4161.5"/>
    <d v="2023-08-02T00:00:00"/>
    <n v="4161.5"/>
    <m/>
    <m/>
    <m/>
    <m/>
  </r>
  <r>
    <x v="170"/>
    <x v="28"/>
    <d v="2023-10-03T00:00:00"/>
    <x v="3"/>
    <x v="0"/>
    <s v="98.901.234/0001-78"/>
    <x v="1"/>
    <s v="Impostos"/>
    <n v="4870"/>
    <x v="1"/>
    <d v="2023-10-04T00:00:00"/>
    <n v="4870"/>
    <m/>
    <m/>
    <m/>
    <m/>
    <m/>
    <m/>
  </r>
  <r>
    <x v="171"/>
    <x v="17"/>
    <d v="2024-05-17T00:00:00"/>
    <x v="1"/>
    <x v="1"/>
    <s v="66.789.012/0001-34"/>
    <x v="1"/>
    <s v="Factoring Fee"/>
    <n v="5610"/>
    <x v="0"/>
    <d v="2024-05-18T00:00:00"/>
    <n v="1870"/>
    <d v="2024-06-16T00:00:00"/>
    <n v="1870"/>
    <d v="2024-07-01T00:00:00"/>
    <n v="1870"/>
    <m/>
    <m/>
  </r>
  <r>
    <x v="172"/>
    <x v="27"/>
    <d v="2024-02-22T00:00:00"/>
    <x v="4"/>
    <x v="1"/>
    <s v="78.901.234/0001-78"/>
    <x v="0"/>
    <s v="MATERIAL B"/>
    <n v="4186"/>
    <x v="0"/>
    <d v="2024-02-23T00:00:00"/>
    <n v="1395.3333333333333"/>
    <d v="2024-03-23T00:00:00"/>
    <n v="1395.3333333333333"/>
    <d v="2024-04-07T00:00:00"/>
    <n v="1395.3333333333333"/>
    <m/>
    <m/>
  </r>
  <r>
    <x v="173"/>
    <x v="20"/>
    <d v="2024-02-02T00:00:00"/>
    <x v="4"/>
    <x v="1"/>
    <s v="85.678.901/0001-67"/>
    <x v="1"/>
    <s v="Pagamentos ADMs"/>
    <n v="2499"/>
    <x v="1"/>
    <d v="2024-02-03T00:00:00"/>
    <n v="2499"/>
    <m/>
    <m/>
    <m/>
    <m/>
    <m/>
    <m/>
  </r>
  <r>
    <x v="174"/>
    <x v="3"/>
    <d v="2023-07-28T00:00:00"/>
    <x v="6"/>
    <x v="0"/>
    <s v="99.012.345/0001-45"/>
    <x v="0"/>
    <s v="MATERIAL B"/>
    <n v="3053"/>
    <x v="2"/>
    <d v="2023-07-29T00:00:00"/>
    <n v="1526.5"/>
    <d v="2023-08-27T00:00:00"/>
    <n v="1526.5"/>
    <m/>
    <m/>
    <m/>
    <m/>
  </r>
  <r>
    <x v="175"/>
    <x v="5"/>
    <d v="2023-09-23T00:00:00"/>
    <x v="5"/>
    <x v="0"/>
    <s v="89.012.345/0001-45"/>
    <x v="0"/>
    <s v="MATERIAL A"/>
    <n v="2786"/>
    <x v="3"/>
    <d v="2023-09-24T00:00:00"/>
    <n v="696.5"/>
    <d v="2023-10-23T00:00:00"/>
    <n v="696.5"/>
    <d v="2023-11-07T00:00:00"/>
    <n v="696.5"/>
    <d v="2023-11-22T00:00:00"/>
    <n v="696.5"/>
  </r>
  <r>
    <x v="176"/>
    <x v="35"/>
    <d v="2023-10-03T00:00:00"/>
    <x v="3"/>
    <x v="0"/>
    <s v="21.234.567/0001-89"/>
    <x v="1"/>
    <s v="Consultoria"/>
    <n v="5235"/>
    <x v="3"/>
    <d v="2023-10-04T00:00:00"/>
    <n v="1308.75"/>
    <d v="2023-11-02T00:00:00"/>
    <n v="1308.75"/>
    <d v="2023-11-17T00:00:00"/>
    <n v="1308.75"/>
    <d v="2023-12-02T00:00:00"/>
    <n v="1308.75"/>
  </r>
  <r>
    <x v="177"/>
    <x v="27"/>
    <d v="2024-03-05T00:00:00"/>
    <x v="8"/>
    <x v="1"/>
    <s v="78.901.234/0001-78"/>
    <x v="0"/>
    <s v="MATERIAL B"/>
    <n v="7659"/>
    <x v="3"/>
    <d v="2024-03-06T00:00:00"/>
    <n v="1914.75"/>
    <d v="2024-04-04T00:00:00"/>
    <n v="1914.75"/>
    <d v="2024-04-19T00:00:00"/>
    <n v="1914.75"/>
    <d v="2024-05-04T00:00:00"/>
    <n v="1914.75"/>
  </r>
  <r>
    <x v="178"/>
    <x v="40"/>
    <d v="2024-03-30T00:00:00"/>
    <x v="8"/>
    <x v="1"/>
    <s v="12.345.678/0001-56"/>
    <x v="2"/>
    <s v="EXTRAVIADO"/>
    <n v="592"/>
    <x v="1"/>
    <d v="2024-03-31T00:00:00"/>
    <n v="592"/>
    <m/>
    <m/>
    <m/>
    <m/>
    <m/>
    <m/>
  </r>
  <r>
    <x v="179"/>
    <x v="26"/>
    <d v="2023-05-20T00:00:00"/>
    <x v="1"/>
    <x v="0"/>
    <s v="41.234.567/0001-89"/>
    <x v="0"/>
    <s v="MATERIAL B"/>
    <n v="6838"/>
    <x v="1"/>
    <d v="2023-05-21T00:00:00"/>
    <n v="6838"/>
    <m/>
    <m/>
    <m/>
    <m/>
    <m/>
    <m/>
  </r>
  <r>
    <x v="180"/>
    <x v="36"/>
    <d v="2024-02-27T00:00:00"/>
    <x v="4"/>
    <x v="1"/>
    <s v="29.012.345/0001-45"/>
    <x v="0"/>
    <s v="MATERIAL B"/>
    <n v="7867"/>
    <x v="0"/>
    <d v="2024-02-28T00:00:00"/>
    <n v="2622.3333333333335"/>
    <d v="2024-03-28T00:00:00"/>
    <n v="2622.3333333333335"/>
    <d v="2024-04-12T00:00:00"/>
    <n v="2622.3333333333335"/>
    <m/>
    <m/>
  </r>
  <r>
    <x v="181"/>
    <x v="11"/>
    <d v="2024-03-31T00:00:00"/>
    <x v="8"/>
    <x v="1"/>
    <s v="22.345.678/0001-56"/>
    <x v="1"/>
    <s v="Pagamentos ADMs"/>
    <n v="7106"/>
    <x v="0"/>
    <d v="2024-04-01T00:00:00"/>
    <n v="2368.6666666666665"/>
    <d v="2024-04-30T00:00:00"/>
    <n v="2368.6666666666665"/>
    <d v="2024-05-15T00:00:00"/>
    <n v="2368.6666666666665"/>
    <m/>
    <m/>
  </r>
  <r>
    <x v="182"/>
    <x v="38"/>
    <d v="2023-08-18T00:00:00"/>
    <x v="7"/>
    <x v="0"/>
    <s v="63.456.789/0001-23"/>
    <x v="1"/>
    <s v="Consultoria"/>
    <n v="6679"/>
    <x v="0"/>
    <d v="2023-08-19T00:00:00"/>
    <n v="2226.3333333333335"/>
    <d v="2023-09-17T00:00:00"/>
    <n v="2226.3333333333335"/>
    <d v="2023-10-02T00:00:00"/>
    <n v="2226.3333333333335"/>
    <m/>
    <m/>
  </r>
  <r>
    <x v="183"/>
    <x v="7"/>
    <d v="2023-11-05T00:00:00"/>
    <x v="10"/>
    <x v="0"/>
    <s v="08.901.234/0001-78"/>
    <x v="1"/>
    <s v="Factoring Fee"/>
    <n v="401"/>
    <x v="1"/>
    <d v="2023-11-06T00:00:00"/>
    <n v="401"/>
    <m/>
    <m/>
    <m/>
    <m/>
    <m/>
    <m/>
  </r>
  <r>
    <x v="184"/>
    <x v="14"/>
    <d v="2023-12-01T00:00:00"/>
    <x v="9"/>
    <x v="0"/>
    <s v="10.123.456/0001-12"/>
    <x v="0"/>
    <s v="MATERIAL A"/>
    <n v="9190"/>
    <x v="2"/>
    <d v="2023-12-02T00:00:00"/>
    <n v="4595"/>
    <d v="2023-12-31T00:00:00"/>
    <n v="4595"/>
    <m/>
    <m/>
    <m/>
    <m/>
  </r>
  <r>
    <x v="185"/>
    <x v="23"/>
    <d v="2023-10-27T00:00:00"/>
    <x v="3"/>
    <x v="0"/>
    <s v="55.678.901/0001-67"/>
    <x v="2"/>
    <s v="ENVIO INCORRETO"/>
    <n v="6129"/>
    <x v="1"/>
    <d v="2023-10-28T00:00:00"/>
    <n v="6129"/>
    <m/>
    <m/>
    <m/>
    <m/>
    <m/>
    <m/>
  </r>
  <r>
    <x v="186"/>
    <x v="46"/>
    <d v="2023-09-03T00:00:00"/>
    <x v="5"/>
    <x v="0"/>
    <s v="44.567.890/0001-90"/>
    <x v="0"/>
    <s v="MATERIAL E"/>
    <n v="4180"/>
    <x v="0"/>
    <d v="2023-09-04T00:00:00"/>
    <n v="1393.3333333333333"/>
    <d v="2023-10-03T00:00:00"/>
    <n v="1393.3333333333333"/>
    <d v="2023-10-18T00:00:00"/>
    <n v="1393.3333333333333"/>
    <m/>
    <m/>
  </r>
  <r>
    <x v="187"/>
    <x v="12"/>
    <d v="2023-12-18T00:00:00"/>
    <x v="9"/>
    <x v="0"/>
    <s v="52.345.678/0001-56"/>
    <x v="0"/>
    <s v="MATERIAL A"/>
    <n v="9950"/>
    <x v="1"/>
    <d v="2023-12-19T00:00:00"/>
    <n v="9950"/>
    <m/>
    <m/>
    <m/>
    <m/>
    <m/>
    <m/>
  </r>
  <r>
    <x v="188"/>
    <x v="24"/>
    <d v="2024-03-15T00:00:00"/>
    <x v="8"/>
    <x v="1"/>
    <s v="77.890.123/0001-01"/>
    <x v="1"/>
    <s v="Impostos"/>
    <n v="5802"/>
    <x v="1"/>
    <d v="2024-03-16T00:00:00"/>
    <n v="5802"/>
    <m/>
    <m/>
    <m/>
    <m/>
    <m/>
    <m/>
  </r>
  <r>
    <x v="189"/>
    <x v="15"/>
    <d v="2024-03-19T00:00:00"/>
    <x v="8"/>
    <x v="1"/>
    <s v="86.789.012/0001-34"/>
    <x v="0"/>
    <s v="MATERIAL E"/>
    <n v="9484"/>
    <x v="1"/>
    <d v="2024-03-20T00:00:00"/>
    <n v="9484"/>
    <m/>
    <m/>
    <m/>
    <m/>
    <m/>
    <m/>
  </r>
  <r>
    <x v="190"/>
    <x v="7"/>
    <d v="2024-04-28T00:00:00"/>
    <x v="11"/>
    <x v="1"/>
    <s v="08.901.234/0001-78"/>
    <x v="1"/>
    <s v="Factoring Fee"/>
    <n v="2504"/>
    <x v="3"/>
    <d v="2024-04-29T00:00:00"/>
    <n v="626"/>
    <d v="2024-05-28T00:00:00"/>
    <n v="626"/>
    <d v="2024-06-12T00:00:00"/>
    <n v="626"/>
    <d v="2024-06-27T00:00:00"/>
    <n v="626"/>
  </r>
  <r>
    <x v="191"/>
    <x v="10"/>
    <d v="2023-09-18T00:00:00"/>
    <x v="5"/>
    <x v="0"/>
    <s v="53.456.789/0001-23"/>
    <x v="0"/>
    <s v="MATERIAL C"/>
    <n v="8677"/>
    <x v="0"/>
    <d v="2023-09-19T00:00:00"/>
    <n v="2892.3333333333335"/>
    <d v="2023-10-18T00:00:00"/>
    <n v="2892.3333333333335"/>
    <d v="2023-11-02T00:00:00"/>
    <n v="2892.3333333333335"/>
    <m/>
    <m/>
  </r>
  <r>
    <x v="192"/>
    <x v="21"/>
    <d v="2024-01-27T00:00:00"/>
    <x v="0"/>
    <x v="1"/>
    <s v="20.123.456/0001-12"/>
    <x v="0"/>
    <s v="MATERIAL B"/>
    <n v="1893"/>
    <x v="1"/>
    <d v="2024-01-28T00:00:00"/>
    <n v="1893"/>
    <m/>
    <m/>
    <m/>
    <m/>
    <m/>
    <m/>
  </r>
  <r>
    <x v="193"/>
    <x v="8"/>
    <d v="2024-05-05T00:00:00"/>
    <x v="1"/>
    <x v="1"/>
    <s v="67.890.123/0001-01"/>
    <x v="0"/>
    <s v="MATERIAL D"/>
    <n v="8676"/>
    <x v="1"/>
    <d v="2024-05-06T00:00:00"/>
    <n v="8676"/>
    <m/>
    <m/>
    <m/>
    <m/>
    <m/>
    <m/>
  </r>
  <r>
    <x v="194"/>
    <x v="40"/>
    <d v="2024-07-05T00:00:00"/>
    <x v="6"/>
    <x v="1"/>
    <s v="12.345.678/0001-56"/>
    <x v="2"/>
    <s v="EXTRAVIADO"/>
    <n v="5431"/>
    <x v="1"/>
    <d v="2024-07-06T00:00:00"/>
    <n v="5431"/>
    <m/>
    <m/>
    <m/>
    <m/>
    <m/>
    <m/>
  </r>
  <r>
    <x v="195"/>
    <x v="28"/>
    <d v="2023-08-07T00:00:00"/>
    <x v="7"/>
    <x v="0"/>
    <s v="98.901.234/0001-78"/>
    <x v="1"/>
    <s v="Impostos"/>
    <n v="1169"/>
    <x v="1"/>
    <d v="2023-08-08T00:00:00"/>
    <n v="1169"/>
    <m/>
    <m/>
    <m/>
    <m/>
    <m/>
    <m/>
  </r>
  <r>
    <x v="196"/>
    <x v="12"/>
    <d v="2024-07-04T00:00:00"/>
    <x v="6"/>
    <x v="1"/>
    <s v="52.345.678/0001-56"/>
    <x v="0"/>
    <s v="MATERIAL A"/>
    <n v="7350"/>
    <x v="3"/>
    <d v="2024-07-05T00:00:00"/>
    <n v="1837.5"/>
    <d v="2024-08-03T00:00:00"/>
    <n v="1837.5"/>
    <d v="2024-08-18T00:00:00"/>
    <n v="1837.5"/>
    <d v="2024-09-02T00:00:00"/>
    <n v="1837.5"/>
  </r>
  <r>
    <x v="197"/>
    <x v="19"/>
    <d v="2024-02-20T00:00:00"/>
    <x v="4"/>
    <x v="1"/>
    <s v="43.456.789/0001-23"/>
    <x v="1"/>
    <s v="Pagamentos ADMs"/>
    <n v="2166"/>
    <x v="0"/>
    <d v="2024-02-21T00:00:00"/>
    <n v="722"/>
    <d v="2024-03-21T00:00:00"/>
    <n v="722"/>
    <d v="2024-04-05T00:00:00"/>
    <n v="722"/>
    <m/>
    <m/>
  </r>
  <r>
    <x v="198"/>
    <x v="32"/>
    <d v="2024-03-08T00:00:00"/>
    <x v="8"/>
    <x v="1"/>
    <s v="23.456.789/0001-23"/>
    <x v="0"/>
    <s v="MATERIAL E"/>
    <n v="6253"/>
    <x v="1"/>
    <d v="2024-03-09T00:00:00"/>
    <n v="6253"/>
    <m/>
    <m/>
    <m/>
    <m/>
    <m/>
    <m/>
  </r>
  <r>
    <x v="199"/>
    <x v="39"/>
    <d v="2024-02-25T00:00:00"/>
    <x v="4"/>
    <x v="1"/>
    <s v="90.123.456/0001-12"/>
    <x v="1"/>
    <s v="Consultoria"/>
    <n v="1990"/>
    <x v="2"/>
    <d v="2024-02-26T00:00:00"/>
    <n v="995"/>
    <d v="2024-03-26T00:00:00"/>
    <n v="995"/>
    <m/>
    <m/>
    <m/>
    <m/>
  </r>
  <r>
    <x v="200"/>
    <x v="37"/>
    <d v="2024-02-21T00:00:00"/>
    <x v="4"/>
    <x v="1"/>
    <s v="65.678.901/0001-67"/>
    <x v="0"/>
    <s v="MATERIAL E"/>
    <n v="8804"/>
    <x v="2"/>
    <d v="2024-02-22T00:00:00"/>
    <n v="4402"/>
    <d v="2024-03-22T00:00:00"/>
    <n v="4402"/>
    <m/>
    <m/>
    <m/>
    <m/>
  </r>
  <r>
    <x v="201"/>
    <x v="24"/>
    <d v="2023-09-28T00:00:00"/>
    <x v="5"/>
    <x v="0"/>
    <s v="77.890.123/0001-01"/>
    <x v="1"/>
    <s v="Impostos"/>
    <n v="3706"/>
    <x v="0"/>
    <d v="2023-09-29T00:00:00"/>
    <n v="1235.3333333333333"/>
    <d v="2023-10-28T00:00:00"/>
    <n v="1235.3333333333333"/>
    <d v="2023-11-12T00:00:00"/>
    <n v="1235.3333333333333"/>
    <m/>
    <m/>
  </r>
  <r>
    <x v="202"/>
    <x v="25"/>
    <d v="2024-01-02T00:00:00"/>
    <x v="0"/>
    <x v="1"/>
    <s v="11.234.567/0001-89"/>
    <x v="0"/>
    <s v="MATERIAL C"/>
    <n v="1276"/>
    <x v="3"/>
    <d v="2024-01-03T00:00:00"/>
    <n v="319"/>
    <d v="2024-02-01T00:00:00"/>
    <n v="319"/>
    <d v="2024-02-16T00:00:00"/>
    <n v="319"/>
    <d v="2024-03-02T00:00:00"/>
    <n v="319"/>
  </r>
  <r>
    <x v="203"/>
    <x v="20"/>
    <d v="2024-04-25T00:00:00"/>
    <x v="11"/>
    <x v="1"/>
    <s v="85.678.901/0001-67"/>
    <x v="1"/>
    <s v="Pagamentos ADMs"/>
    <n v="1849"/>
    <x v="2"/>
    <d v="2024-04-26T00:00:00"/>
    <n v="924.5"/>
    <d v="2024-05-25T00:00:00"/>
    <n v="924.5"/>
    <m/>
    <m/>
    <m/>
    <m/>
  </r>
  <r>
    <x v="204"/>
    <x v="9"/>
    <d v="2024-07-01T00:00:00"/>
    <x v="6"/>
    <x v="1"/>
    <s v="54.567.890/0001-90"/>
    <x v="2"/>
    <s v="EXTRAVIADO"/>
    <n v="7586"/>
    <x v="1"/>
    <d v="2024-07-02T00:00:00"/>
    <n v="7586"/>
    <m/>
    <m/>
    <m/>
    <m/>
    <m/>
    <m/>
  </r>
  <r>
    <x v="205"/>
    <x v="22"/>
    <d v="2023-06-11T00:00:00"/>
    <x v="2"/>
    <x v="0"/>
    <s v="75.678.901/0001-67"/>
    <x v="2"/>
    <s v="EXTRAVIADO"/>
    <n v="9322"/>
    <x v="1"/>
    <d v="2023-06-12T00:00:00"/>
    <n v="9322"/>
    <m/>
    <m/>
    <m/>
    <m/>
    <m/>
    <m/>
  </r>
  <r>
    <x v="206"/>
    <x v="10"/>
    <d v="2023-12-23T00:00:00"/>
    <x v="9"/>
    <x v="0"/>
    <s v="53.456.789/0001-23"/>
    <x v="0"/>
    <s v="MATERIAL C"/>
    <n v="2547"/>
    <x v="0"/>
    <d v="2023-12-24T00:00:00"/>
    <n v="849"/>
    <d v="2024-01-22T00:00:00"/>
    <n v="849"/>
    <d v="2024-02-06T00:00:00"/>
    <n v="849"/>
    <m/>
    <m/>
  </r>
  <r>
    <x v="207"/>
    <x v="13"/>
    <d v="2024-05-24T00:00:00"/>
    <x v="1"/>
    <x v="1"/>
    <s v="09.012.345/0001-45"/>
    <x v="0"/>
    <s v="MATERIAL D"/>
    <n v="2105"/>
    <x v="1"/>
    <d v="2024-05-25T00:00:00"/>
    <n v="2105"/>
    <m/>
    <m/>
    <m/>
    <m/>
    <m/>
    <m/>
  </r>
  <r>
    <x v="208"/>
    <x v="8"/>
    <d v="2023-08-22T00:00:00"/>
    <x v="7"/>
    <x v="0"/>
    <s v="67.890.123/0001-01"/>
    <x v="0"/>
    <s v="MATERIAL D"/>
    <n v="9813"/>
    <x v="2"/>
    <d v="2023-08-23T00:00:00"/>
    <n v="4906.5"/>
    <d v="2023-09-21T00:00:00"/>
    <n v="4906.5"/>
    <m/>
    <m/>
    <m/>
    <m/>
  </r>
  <r>
    <x v="209"/>
    <x v="45"/>
    <d v="2024-04-09T00:00:00"/>
    <x v="11"/>
    <x v="1"/>
    <s v="19.012.345/0001-45"/>
    <x v="1"/>
    <s v="Impostos"/>
    <n v="9521"/>
    <x v="1"/>
    <d v="2024-04-10T00:00:00"/>
    <n v="9521"/>
    <m/>
    <m/>
    <m/>
    <m/>
    <m/>
    <m/>
  </r>
  <r>
    <x v="210"/>
    <x v="37"/>
    <d v="2024-03-20T00:00:00"/>
    <x v="8"/>
    <x v="1"/>
    <s v="65.678.901/0001-67"/>
    <x v="0"/>
    <s v="MATERIAL E"/>
    <n v="5979"/>
    <x v="1"/>
    <d v="2024-03-21T00:00:00"/>
    <n v="5979"/>
    <m/>
    <m/>
    <m/>
    <m/>
    <m/>
    <m/>
  </r>
  <r>
    <x v="211"/>
    <x v="13"/>
    <d v="2024-04-22T00:00:00"/>
    <x v="11"/>
    <x v="1"/>
    <s v="09.012.345/0001-45"/>
    <x v="0"/>
    <s v="MATERIAL D"/>
    <n v="4704"/>
    <x v="0"/>
    <d v="2024-04-23T00:00:00"/>
    <n v="1568"/>
    <d v="2024-05-22T00:00:00"/>
    <n v="1568"/>
    <d v="2024-06-06T00:00:00"/>
    <n v="1568"/>
    <m/>
    <m/>
  </r>
  <r>
    <x v="212"/>
    <x v="24"/>
    <d v="2023-08-03T00:00:00"/>
    <x v="7"/>
    <x v="0"/>
    <s v="77.890.123/0001-01"/>
    <x v="1"/>
    <s v="Impostos"/>
    <n v="2123"/>
    <x v="0"/>
    <d v="2023-08-04T00:00:00"/>
    <n v="707.66666666666663"/>
    <d v="2023-09-02T00:00:00"/>
    <n v="707.66666666666663"/>
    <d v="2023-09-17T00:00:00"/>
    <n v="707.66666666666663"/>
    <m/>
    <m/>
  </r>
  <r>
    <x v="213"/>
    <x v="35"/>
    <d v="2024-06-01T00:00:00"/>
    <x v="2"/>
    <x v="1"/>
    <s v="21.234.567/0001-89"/>
    <x v="1"/>
    <s v="Consultoria"/>
    <n v="3341"/>
    <x v="1"/>
    <d v="2024-06-02T00:00:00"/>
    <n v="3341"/>
    <m/>
    <m/>
    <m/>
    <m/>
    <m/>
    <m/>
  </r>
  <r>
    <x v="214"/>
    <x v="6"/>
    <d v="2023-12-09T00:00:00"/>
    <x v="9"/>
    <x v="0"/>
    <s v="34.567.890/0001-90"/>
    <x v="2"/>
    <s v="ENVIO INCORRETO"/>
    <n v="5561"/>
    <x v="1"/>
    <d v="2023-12-10T00:00:00"/>
    <n v="5561"/>
    <m/>
    <m/>
    <m/>
    <m/>
    <m/>
    <m/>
  </r>
  <r>
    <x v="215"/>
    <x v="17"/>
    <d v="2023-11-26T00:00:00"/>
    <x v="10"/>
    <x v="0"/>
    <s v="66.789.012/0001-34"/>
    <x v="1"/>
    <s v="Factoring Fee"/>
    <n v="9010"/>
    <x v="0"/>
    <d v="2023-11-27T00:00:00"/>
    <n v="3003.3333333333335"/>
    <d v="2023-12-26T00:00:00"/>
    <n v="3003.3333333333335"/>
    <d v="2024-01-10T00:00:00"/>
    <n v="3003.3333333333335"/>
    <m/>
    <m/>
  </r>
  <r>
    <x v="216"/>
    <x v="3"/>
    <d v="2024-03-10T00:00:00"/>
    <x v="8"/>
    <x v="1"/>
    <s v="99.012.345/0001-45"/>
    <x v="0"/>
    <s v="MATERIAL B"/>
    <n v="9426"/>
    <x v="2"/>
    <d v="2024-03-11T00:00:00"/>
    <n v="4713"/>
    <d v="2024-04-09T00:00:00"/>
    <n v="4713"/>
    <m/>
    <m/>
    <m/>
    <m/>
  </r>
  <r>
    <x v="217"/>
    <x v="7"/>
    <d v="2023-12-08T00:00:00"/>
    <x v="9"/>
    <x v="0"/>
    <s v="08.901.234/0001-78"/>
    <x v="1"/>
    <s v="Factoring Fee"/>
    <n v="2215"/>
    <x v="0"/>
    <d v="2023-12-09T00:00:00"/>
    <n v="738.33333333333337"/>
    <d v="2024-01-07T00:00:00"/>
    <n v="738.33333333333337"/>
    <d v="2024-01-22T00:00:00"/>
    <n v="738.33333333333337"/>
    <m/>
    <m/>
  </r>
  <r>
    <x v="218"/>
    <x v="28"/>
    <d v="2024-02-12T00:00:00"/>
    <x v="4"/>
    <x v="1"/>
    <s v="98.901.234/0001-78"/>
    <x v="1"/>
    <s v="Impostos"/>
    <n v="3173"/>
    <x v="2"/>
    <d v="2024-02-13T00:00:00"/>
    <n v="1586.5"/>
    <d v="2024-03-13T00:00:00"/>
    <n v="1586.5"/>
    <m/>
    <m/>
    <m/>
    <m/>
  </r>
  <r>
    <x v="219"/>
    <x v="43"/>
    <d v="2024-07-25T00:00:00"/>
    <x v="6"/>
    <x v="1"/>
    <s v="64.567.890/0001-90"/>
    <x v="1"/>
    <s v="Pagamentos ADMs"/>
    <n v="6591"/>
    <x v="1"/>
    <d v="2024-07-26T00:00:00"/>
    <n v="6591"/>
    <m/>
    <m/>
    <m/>
    <m/>
    <m/>
    <m/>
  </r>
  <r>
    <x v="220"/>
    <x v="6"/>
    <d v="2024-08-13T00:00:00"/>
    <x v="7"/>
    <x v="1"/>
    <s v="34.567.890/0001-90"/>
    <x v="2"/>
    <s v="ENVIO INCORRETO"/>
    <n v="9169"/>
    <x v="1"/>
    <d v="2024-08-14T00:00:00"/>
    <n v="9169"/>
    <m/>
    <m/>
    <m/>
    <m/>
    <m/>
    <m/>
  </r>
  <r>
    <x v="221"/>
    <x v="8"/>
    <d v="2024-03-29T00:00:00"/>
    <x v="8"/>
    <x v="1"/>
    <s v="67.890.123/0001-01"/>
    <x v="0"/>
    <s v="MATERIAL D"/>
    <n v="6193"/>
    <x v="2"/>
    <d v="2024-03-30T00:00:00"/>
    <n v="3096.5"/>
    <d v="2024-04-28T00:00:00"/>
    <n v="3096.5"/>
    <m/>
    <m/>
    <m/>
    <m/>
  </r>
  <r>
    <x v="222"/>
    <x v="41"/>
    <d v="2024-03-01T00:00:00"/>
    <x v="8"/>
    <x v="1"/>
    <s v="18.901.234/0001-78"/>
    <x v="0"/>
    <s v="MATERIAL D"/>
    <n v="7567"/>
    <x v="0"/>
    <d v="2024-03-02T00:00:00"/>
    <n v="2522.3333333333335"/>
    <d v="2024-03-31T00:00:00"/>
    <n v="2522.3333333333335"/>
    <d v="2024-04-15T00:00:00"/>
    <n v="2522.3333333333335"/>
    <m/>
    <m/>
  </r>
  <r>
    <x v="223"/>
    <x v="33"/>
    <d v="2024-05-18T00:00:00"/>
    <x v="1"/>
    <x v="1"/>
    <s v="87.890.123/0001-01"/>
    <x v="1"/>
    <s v="Factoring Fee"/>
    <n v="874"/>
    <x v="0"/>
    <d v="2024-05-19T00:00:00"/>
    <n v="291.33333333333331"/>
    <d v="2024-06-17T00:00:00"/>
    <n v="291.33333333333331"/>
    <d v="2024-07-02T00:00:00"/>
    <n v="291.33333333333331"/>
    <m/>
    <m/>
  </r>
  <r>
    <x v="224"/>
    <x v="43"/>
    <d v="2024-05-29T00:00:00"/>
    <x v="1"/>
    <x v="1"/>
    <s v="64.567.890/0001-90"/>
    <x v="1"/>
    <s v="Pagamentos ADMs"/>
    <n v="8293"/>
    <x v="2"/>
    <d v="2024-05-30T00:00:00"/>
    <n v="4146.5"/>
    <d v="2024-06-28T00:00:00"/>
    <n v="4146.5"/>
    <m/>
    <m/>
    <m/>
    <m/>
  </r>
  <r>
    <x v="225"/>
    <x v="24"/>
    <d v="2024-06-16T00:00:00"/>
    <x v="2"/>
    <x v="1"/>
    <s v="77.890.123/0001-01"/>
    <x v="1"/>
    <s v="Impostos"/>
    <n v="6745"/>
    <x v="0"/>
    <d v="2024-06-17T00:00:00"/>
    <n v="2248.3333333333335"/>
    <d v="2024-07-16T00:00:00"/>
    <n v="2248.3333333333335"/>
    <d v="2024-07-31T00:00:00"/>
    <n v="2248.3333333333335"/>
    <m/>
    <m/>
  </r>
  <r>
    <x v="226"/>
    <x v="1"/>
    <d v="2024-05-27T00:00:00"/>
    <x v="1"/>
    <x v="1"/>
    <s v="45.678.901/0001-67"/>
    <x v="1"/>
    <s v="Factoring Fee"/>
    <n v="3455"/>
    <x v="3"/>
    <d v="2024-05-28T00:00:00"/>
    <n v="863.75"/>
    <d v="2024-06-26T00:00:00"/>
    <n v="863.75"/>
    <d v="2024-07-11T00:00:00"/>
    <n v="863.75"/>
    <d v="2024-07-26T00:00:00"/>
    <n v="863.75"/>
  </r>
  <r>
    <x v="227"/>
    <x v="15"/>
    <d v="2023-10-12T00:00:00"/>
    <x v="3"/>
    <x v="0"/>
    <s v="86.789.012/0001-34"/>
    <x v="0"/>
    <s v="MATERIAL E"/>
    <n v="7979"/>
    <x v="0"/>
    <d v="2023-10-13T00:00:00"/>
    <n v="2659.6666666666665"/>
    <d v="2023-11-11T00:00:00"/>
    <n v="2659.6666666666665"/>
    <d v="2023-11-26T00:00:00"/>
    <n v="2659.6666666666665"/>
    <m/>
    <m/>
  </r>
  <r>
    <x v="228"/>
    <x v="5"/>
    <d v="2023-06-29T00:00:00"/>
    <x v="2"/>
    <x v="0"/>
    <s v="89.012.345/0001-45"/>
    <x v="0"/>
    <s v="MATERIAL A"/>
    <n v="8660"/>
    <x v="1"/>
    <d v="2023-06-30T00:00:00"/>
    <n v="8660"/>
    <m/>
    <m/>
    <m/>
    <m/>
    <m/>
    <m/>
  </r>
  <r>
    <x v="229"/>
    <x v="36"/>
    <d v="2023-07-26T00:00:00"/>
    <x v="6"/>
    <x v="0"/>
    <s v="29.012.345/0001-45"/>
    <x v="0"/>
    <s v="MATERIAL B"/>
    <n v="7962"/>
    <x v="0"/>
    <d v="2023-07-27T00:00:00"/>
    <n v="2654"/>
    <d v="2023-08-25T00:00:00"/>
    <n v="2654"/>
    <d v="2023-09-09T00:00:00"/>
    <n v="2654"/>
    <m/>
    <m/>
  </r>
  <r>
    <x v="230"/>
    <x v="47"/>
    <d v="2023-08-10T00:00:00"/>
    <x v="7"/>
    <x v="0"/>
    <s v="07.890.123/0001-01"/>
    <x v="0"/>
    <s v="MATERIAL E"/>
    <n v="9511"/>
    <x v="1"/>
    <d v="2023-08-11T00:00:00"/>
    <n v="9511"/>
    <m/>
    <m/>
    <m/>
    <m/>
    <m/>
    <m/>
  </r>
  <r>
    <x v="231"/>
    <x v="22"/>
    <d v="2023-09-10T00:00:00"/>
    <x v="5"/>
    <x v="0"/>
    <s v="75.678.901/0001-67"/>
    <x v="2"/>
    <s v="EXTRAVIADO"/>
    <n v="8511"/>
    <x v="1"/>
    <d v="2023-09-11T00:00:00"/>
    <n v="8511"/>
    <m/>
    <m/>
    <m/>
    <m/>
    <m/>
    <m/>
  </r>
  <r>
    <x v="232"/>
    <x v="27"/>
    <d v="2024-05-24T00:00:00"/>
    <x v="1"/>
    <x v="1"/>
    <s v="78.901.234/0001-78"/>
    <x v="0"/>
    <s v="MATERIAL B"/>
    <n v="8691"/>
    <x v="3"/>
    <d v="2024-05-25T00:00:00"/>
    <n v="2172.75"/>
    <d v="2024-06-23T00:00:00"/>
    <n v="2172.75"/>
    <d v="2024-07-08T00:00:00"/>
    <n v="2172.75"/>
    <d v="2024-07-23T00:00:00"/>
    <n v="2172.75"/>
  </r>
  <r>
    <x v="233"/>
    <x v="14"/>
    <d v="2024-03-05T00:00:00"/>
    <x v="8"/>
    <x v="1"/>
    <s v="10.123.456/0001-12"/>
    <x v="0"/>
    <s v="MATERIAL A"/>
    <n v="7016"/>
    <x v="3"/>
    <d v="2024-03-06T00:00:00"/>
    <n v="1754"/>
    <d v="2024-04-04T00:00:00"/>
    <n v="1754"/>
    <d v="2024-04-19T00:00:00"/>
    <n v="1754"/>
    <d v="2024-05-04T00:00:00"/>
    <n v="1754"/>
  </r>
  <r>
    <x v="234"/>
    <x v="47"/>
    <d v="2023-07-08T00:00:00"/>
    <x v="6"/>
    <x v="0"/>
    <s v="07.890.123/0001-01"/>
    <x v="0"/>
    <s v="MATERIAL E"/>
    <n v="2432"/>
    <x v="1"/>
    <d v="2023-07-09T00:00:00"/>
    <n v="2432"/>
    <m/>
    <m/>
    <m/>
    <m/>
    <m/>
    <m/>
  </r>
  <r>
    <x v="235"/>
    <x v="3"/>
    <d v="2023-07-13T00:00:00"/>
    <x v="6"/>
    <x v="0"/>
    <s v="99.012.345/0001-45"/>
    <x v="0"/>
    <s v="MATERIAL B"/>
    <n v="7988"/>
    <x v="3"/>
    <d v="2023-07-14T00:00:00"/>
    <n v="1997"/>
    <d v="2023-08-12T00:00:00"/>
    <n v="1997"/>
    <d v="2023-08-27T00:00:00"/>
    <n v="1997"/>
    <d v="2023-09-11T00:00:00"/>
    <n v="1997"/>
  </r>
  <r>
    <x v="236"/>
    <x v="24"/>
    <d v="2024-03-23T00:00:00"/>
    <x v="8"/>
    <x v="1"/>
    <s v="77.890.123/0001-01"/>
    <x v="1"/>
    <s v="Impostos"/>
    <n v="5810"/>
    <x v="0"/>
    <d v="2024-03-24T00:00:00"/>
    <n v="1936.6666666666667"/>
    <d v="2024-04-22T00:00:00"/>
    <n v="1936.6666666666667"/>
    <d v="2024-05-07T00:00:00"/>
    <n v="1936.6666666666667"/>
    <m/>
    <m/>
  </r>
  <r>
    <x v="237"/>
    <x v="47"/>
    <d v="2023-05-09T00:00:00"/>
    <x v="1"/>
    <x v="0"/>
    <s v="07.890.123/0001-01"/>
    <x v="0"/>
    <s v="MATERIAL E"/>
    <n v="4750"/>
    <x v="1"/>
    <d v="2023-05-10T00:00:00"/>
    <n v="4750"/>
    <m/>
    <m/>
    <m/>
    <m/>
    <m/>
    <m/>
  </r>
  <r>
    <x v="238"/>
    <x v="38"/>
    <d v="2023-08-29T00:00:00"/>
    <x v="7"/>
    <x v="0"/>
    <s v="63.456.789/0001-23"/>
    <x v="1"/>
    <s v="Consultoria"/>
    <n v="5572"/>
    <x v="2"/>
    <d v="2023-08-30T00:00:00"/>
    <n v="2786"/>
    <d v="2023-09-28T00:00:00"/>
    <n v="2786"/>
    <m/>
    <m/>
    <m/>
    <m/>
  </r>
  <r>
    <x v="239"/>
    <x v="27"/>
    <d v="2023-12-24T00:00:00"/>
    <x v="9"/>
    <x v="0"/>
    <s v="78.901.234/0001-78"/>
    <x v="0"/>
    <s v="MATERIAL B"/>
    <n v="2758"/>
    <x v="2"/>
    <d v="2023-12-25T00:00:00"/>
    <n v="1379"/>
    <d v="2024-01-23T00:00:00"/>
    <n v="1379"/>
    <m/>
    <m/>
    <m/>
    <m/>
  </r>
  <r>
    <x v="240"/>
    <x v="41"/>
    <d v="2024-08-22T00:00:00"/>
    <x v="7"/>
    <x v="1"/>
    <s v="18.901.234/0001-78"/>
    <x v="0"/>
    <s v="MATERIAL D"/>
    <n v="5783"/>
    <x v="0"/>
    <d v="2024-08-23T00:00:00"/>
    <n v="1927.6666666666667"/>
    <d v="2024-09-21T00:00:00"/>
    <n v="1927.6666666666667"/>
    <d v="2024-10-06T00:00:00"/>
    <n v="1927.6666666666667"/>
    <m/>
    <m/>
  </r>
  <r>
    <x v="241"/>
    <x v="41"/>
    <d v="2023-11-30T00:00:00"/>
    <x v="10"/>
    <x v="0"/>
    <s v="18.901.234/0001-78"/>
    <x v="0"/>
    <s v="MATERIAL D"/>
    <n v="1013"/>
    <x v="1"/>
    <d v="2023-12-01T00:00:00"/>
    <n v="1013"/>
    <m/>
    <m/>
    <m/>
    <m/>
    <m/>
    <m/>
  </r>
  <r>
    <x v="242"/>
    <x v="27"/>
    <d v="2023-09-12T00:00:00"/>
    <x v="5"/>
    <x v="0"/>
    <s v="78.901.234/0001-78"/>
    <x v="0"/>
    <s v="MATERIAL B"/>
    <n v="1296"/>
    <x v="0"/>
    <d v="2023-09-13T00:00:00"/>
    <n v="432"/>
    <d v="2023-10-12T00:00:00"/>
    <n v="432"/>
    <d v="2023-10-27T00:00:00"/>
    <n v="432"/>
    <m/>
    <m/>
  </r>
  <r>
    <x v="243"/>
    <x v="41"/>
    <d v="2023-07-26T00:00:00"/>
    <x v="6"/>
    <x v="0"/>
    <s v="18.901.234/0001-78"/>
    <x v="0"/>
    <s v="MATERIAL D"/>
    <n v="3437"/>
    <x v="3"/>
    <d v="2023-07-27T00:00:00"/>
    <n v="859.25"/>
    <d v="2023-08-25T00:00:00"/>
    <n v="859.25"/>
    <d v="2023-09-09T00:00:00"/>
    <n v="859.25"/>
    <d v="2023-09-24T00:00:00"/>
    <n v="859.25"/>
  </r>
  <r>
    <x v="244"/>
    <x v="11"/>
    <d v="2024-02-26T00:00:00"/>
    <x v="4"/>
    <x v="1"/>
    <s v="22.345.678/0001-56"/>
    <x v="1"/>
    <s v="Pagamentos ADMs"/>
    <n v="4535"/>
    <x v="0"/>
    <d v="2024-02-27T00:00:00"/>
    <n v="1511.6666666666667"/>
    <d v="2024-03-27T00:00:00"/>
    <n v="1511.6666666666667"/>
    <d v="2024-04-11T00:00:00"/>
    <n v="1511.6666666666667"/>
    <m/>
    <m/>
  </r>
  <r>
    <x v="245"/>
    <x v="11"/>
    <d v="2023-06-13T00:00:00"/>
    <x v="2"/>
    <x v="0"/>
    <s v="22.345.678/0001-56"/>
    <x v="1"/>
    <s v="Pagamentos ADMs"/>
    <n v="6258"/>
    <x v="0"/>
    <d v="2023-06-14T00:00:00"/>
    <n v="2086"/>
    <d v="2023-07-13T00:00:00"/>
    <n v="2086"/>
    <d v="2023-07-28T00:00:00"/>
    <n v="2086"/>
    <m/>
    <m/>
  </r>
  <r>
    <x v="246"/>
    <x v="34"/>
    <d v="2024-06-20T00:00:00"/>
    <x v="2"/>
    <x v="1"/>
    <s v="42.345.678/0001-56"/>
    <x v="1"/>
    <s v="Consultoria"/>
    <n v="9865"/>
    <x v="0"/>
    <d v="2024-06-21T00:00:00"/>
    <n v="3288.3333333333335"/>
    <d v="2024-07-20T00:00:00"/>
    <n v="3288.3333333333335"/>
    <d v="2024-08-04T00:00:00"/>
    <n v="3288.3333333333335"/>
    <m/>
    <m/>
  </r>
  <r>
    <x v="247"/>
    <x v="17"/>
    <d v="2023-12-07T00:00:00"/>
    <x v="9"/>
    <x v="0"/>
    <s v="66.789.012/0001-34"/>
    <x v="1"/>
    <s v="Factoring Fee"/>
    <n v="3344"/>
    <x v="2"/>
    <d v="2023-12-08T00:00:00"/>
    <n v="1672"/>
    <d v="2024-01-06T00:00:00"/>
    <n v="1672"/>
    <m/>
    <m/>
    <m/>
    <m/>
  </r>
  <r>
    <x v="248"/>
    <x v="46"/>
    <d v="2023-09-30T00:00:00"/>
    <x v="5"/>
    <x v="0"/>
    <s v="44.567.890/0001-90"/>
    <x v="0"/>
    <s v="MATERIAL E"/>
    <n v="3488"/>
    <x v="3"/>
    <d v="2023-10-01T00:00:00"/>
    <n v="872"/>
    <d v="2023-10-30T00:00:00"/>
    <n v="872"/>
    <d v="2023-11-14T00:00:00"/>
    <n v="872"/>
    <d v="2023-11-29T00:00:00"/>
    <n v="872"/>
  </r>
  <r>
    <x v="249"/>
    <x v="12"/>
    <d v="2024-03-17T00:00:00"/>
    <x v="8"/>
    <x v="1"/>
    <s v="52.345.678/0001-56"/>
    <x v="0"/>
    <s v="MATERIAL A"/>
    <n v="6517"/>
    <x v="3"/>
    <d v="2024-03-18T00:00:00"/>
    <n v="1629.25"/>
    <d v="2024-04-16T00:00:00"/>
    <n v="1629.25"/>
    <d v="2024-05-01T00:00:00"/>
    <n v="1629.25"/>
    <d v="2024-05-16T00:00:00"/>
    <n v="1629.25"/>
  </r>
  <r>
    <x v="250"/>
    <x v="32"/>
    <d v="2024-04-18T00:00:00"/>
    <x v="11"/>
    <x v="1"/>
    <s v="23.456.789/0001-23"/>
    <x v="0"/>
    <s v="MATERIAL E"/>
    <n v="4114"/>
    <x v="0"/>
    <d v="2024-04-19T00:00:00"/>
    <n v="1371.3333333333333"/>
    <d v="2024-05-18T00:00:00"/>
    <n v="1371.3333333333333"/>
    <d v="2024-06-02T00:00:00"/>
    <n v="1371.3333333333333"/>
    <m/>
    <m/>
  </r>
  <r>
    <x v="251"/>
    <x v="0"/>
    <d v="2024-02-16T00:00:00"/>
    <x v="4"/>
    <x v="1"/>
    <s v="96.789.012/0001-34"/>
    <x v="2"/>
    <s v="EXTRAVIADO"/>
    <n v="5034"/>
    <x v="1"/>
    <d v="2024-02-17T00:00:00"/>
    <n v="5034"/>
    <m/>
    <m/>
    <m/>
    <m/>
    <m/>
    <m/>
  </r>
  <r>
    <x v="252"/>
    <x v="48"/>
    <d v="2023-12-23T00:00:00"/>
    <x v="9"/>
    <x v="0"/>
    <s v="56.789.012/0001-34"/>
    <x v="1"/>
    <s v="Impostos"/>
    <n v="3245"/>
    <x v="3"/>
    <d v="2023-12-24T00:00:00"/>
    <n v="811.25"/>
    <d v="2024-01-22T00:00:00"/>
    <n v="811.25"/>
    <d v="2024-02-06T00:00:00"/>
    <n v="811.25"/>
    <d v="2024-02-21T00:00:00"/>
    <n v="811.25"/>
  </r>
  <r>
    <x v="253"/>
    <x v="22"/>
    <d v="2024-04-29T00:00:00"/>
    <x v="11"/>
    <x v="1"/>
    <s v="75.678.901/0001-67"/>
    <x v="2"/>
    <s v="EXTRAVIADO"/>
    <n v="8733"/>
    <x v="1"/>
    <d v="2024-04-30T00:00:00"/>
    <n v="8733"/>
    <m/>
    <m/>
    <m/>
    <m/>
    <m/>
    <m/>
  </r>
  <r>
    <x v="254"/>
    <x v="3"/>
    <d v="2024-01-01T00:00:00"/>
    <x v="0"/>
    <x v="1"/>
    <s v="99.012.345/0001-45"/>
    <x v="0"/>
    <s v="MATERIAL B"/>
    <n v="7791"/>
    <x v="0"/>
    <d v="2024-01-02T00:00:00"/>
    <n v="2597"/>
    <d v="2024-01-31T00:00:00"/>
    <n v="2597"/>
    <d v="2024-02-15T00:00:00"/>
    <n v="2597"/>
    <m/>
    <m/>
  </r>
  <r>
    <x v="255"/>
    <x v="39"/>
    <d v="2024-01-18T00:00:00"/>
    <x v="0"/>
    <x v="1"/>
    <s v="90.123.456/0001-12"/>
    <x v="1"/>
    <s v="Consultoria"/>
    <n v="7219"/>
    <x v="0"/>
    <d v="2024-01-19T00:00:00"/>
    <n v="2406.3333333333335"/>
    <d v="2024-02-17T00:00:00"/>
    <n v="2406.3333333333335"/>
    <d v="2024-03-03T00:00:00"/>
    <n v="2406.3333333333335"/>
    <m/>
    <m/>
  </r>
  <r>
    <x v="256"/>
    <x v="18"/>
    <d v="2024-06-09T00:00:00"/>
    <x v="2"/>
    <x v="1"/>
    <s v="30.123.456/0001-12"/>
    <x v="0"/>
    <s v="MATERIAL D"/>
    <n v="8725"/>
    <x v="3"/>
    <d v="2024-06-10T00:00:00"/>
    <n v="2181.25"/>
    <d v="2024-07-09T00:00:00"/>
    <n v="2181.25"/>
    <d v="2024-07-24T00:00:00"/>
    <n v="2181.25"/>
    <d v="2024-08-08T00:00:00"/>
    <n v="2181.25"/>
  </r>
  <r>
    <x v="257"/>
    <x v="0"/>
    <d v="2023-10-22T00:00:00"/>
    <x v="3"/>
    <x v="0"/>
    <s v="96.789.012/0001-34"/>
    <x v="2"/>
    <s v="EXTRAVIADO"/>
    <n v="4117"/>
    <x v="1"/>
    <d v="2023-10-23T00:00:00"/>
    <n v="4117"/>
    <m/>
    <m/>
    <m/>
    <m/>
    <m/>
    <m/>
  </r>
  <r>
    <x v="258"/>
    <x v="1"/>
    <d v="2023-10-25T00:00:00"/>
    <x v="3"/>
    <x v="0"/>
    <s v="45.678.901/0001-67"/>
    <x v="1"/>
    <s v="Factoring Fee"/>
    <n v="3894"/>
    <x v="2"/>
    <d v="2023-10-26T00:00:00"/>
    <n v="1947"/>
    <d v="2023-11-24T00:00:00"/>
    <n v="1947"/>
    <m/>
    <m/>
    <m/>
    <m/>
  </r>
  <r>
    <x v="259"/>
    <x v="40"/>
    <d v="2024-03-17T00:00:00"/>
    <x v="8"/>
    <x v="1"/>
    <s v="12.345.678/0001-56"/>
    <x v="2"/>
    <s v="EXTRAVIADO"/>
    <n v="8800"/>
    <x v="1"/>
    <d v="2024-03-18T00:00:00"/>
    <n v="8800"/>
    <m/>
    <m/>
    <m/>
    <m/>
    <m/>
    <m/>
  </r>
  <r>
    <x v="260"/>
    <x v="2"/>
    <d v="2023-10-09T00:00:00"/>
    <x v="3"/>
    <x v="0"/>
    <s v="32.345.678/0001-56"/>
    <x v="0"/>
    <s v="MATERIAL C"/>
    <n v="6917"/>
    <x v="0"/>
    <d v="2023-10-10T00:00:00"/>
    <n v="2305.6666666666665"/>
    <d v="2023-11-08T00:00:00"/>
    <n v="2305.6666666666665"/>
    <d v="2023-11-23T00:00:00"/>
    <n v="2305.6666666666665"/>
    <m/>
    <m/>
  </r>
  <r>
    <x v="261"/>
    <x v="30"/>
    <d v="2024-09-02T00:00:00"/>
    <x v="5"/>
    <x v="1"/>
    <s v="01.234.567/0001-89"/>
    <x v="1"/>
    <s v="Pagamentos ADMs"/>
    <n v="7098"/>
    <x v="2"/>
    <d v="2024-09-03T00:00:00"/>
    <n v="3549"/>
    <d v="2024-10-02T00:00:00"/>
    <n v="3549"/>
    <m/>
    <m/>
    <m/>
    <m/>
  </r>
  <r>
    <x v="262"/>
    <x v="39"/>
    <d v="2024-04-13T00:00:00"/>
    <x v="11"/>
    <x v="1"/>
    <s v="90.123.456/0001-12"/>
    <x v="1"/>
    <s v="Consultoria"/>
    <n v="7136"/>
    <x v="2"/>
    <d v="2024-04-14T00:00:00"/>
    <n v="3568"/>
    <d v="2024-05-13T00:00:00"/>
    <n v="3568"/>
    <m/>
    <m/>
    <m/>
    <m/>
  </r>
  <r>
    <x v="263"/>
    <x v="42"/>
    <d v="2023-07-26T00:00:00"/>
    <x v="6"/>
    <x v="0"/>
    <s v="31.234.567/0001-89"/>
    <x v="0"/>
    <s v="MATERIAL A"/>
    <n v="9829"/>
    <x v="3"/>
    <d v="2023-07-27T00:00:00"/>
    <n v="2457.25"/>
    <d v="2023-08-25T00:00:00"/>
    <n v="2457.25"/>
    <d v="2023-09-09T00:00:00"/>
    <n v="2457.25"/>
    <d v="2023-09-24T00:00:00"/>
    <n v="2457.25"/>
  </r>
  <r>
    <x v="264"/>
    <x v="18"/>
    <d v="2024-06-05T00:00:00"/>
    <x v="2"/>
    <x v="1"/>
    <s v="30.123.456/0001-12"/>
    <x v="0"/>
    <s v="MATERIAL D"/>
    <n v="3126"/>
    <x v="1"/>
    <d v="2024-06-06T00:00:00"/>
    <n v="3126"/>
    <m/>
    <m/>
    <m/>
    <m/>
    <m/>
    <m/>
  </r>
  <r>
    <x v="265"/>
    <x v="17"/>
    <d v="2024-07-01T00:00:00"/>
    <x v="6"/>
    <x v="1"/>
    <s v="66.789.012/0001-34"/>
    <x v="1"/>
    <s v="Factoring Fee"/>
    <n v="567"/>
    <x v="0"/>
    <d v="2024-07-02T00:00:00"/>
    <n v="189"/>
    <d v="2024-07-31T00:00:00"/>
    <n v="189"/>
    <d v="2024-08-15T00:00:00"/>
    <n v="189"/>
    <m/>
    <m/>
  </r>
  <r>
    <x v="266"/>
    <x v="24"/>
    <d v="2023-07-27T00:00:00"/>
    <x v="6"/>
    <x v="0"/>
    <s v="77.890.123/0001-01"/>
    <x v="1"/>
    <s v="Impostos"/>
    <n v="6718"/>
    <x v="2"/>
    <d v="2023-07-28T00:00:00"/>
    <n v="3359"/>
    <d v="2023-08-26T00:00:00"/>
    <n v="3359"/>
    <m/>
    <m/>
    <m/>
    <m/>
  </r>
  <r>
    <x v="267"/>
    <x v="26"/>
    <d v="2024-04-10T00:00:00"/>
    <x v="11"/>
    <x v="1"/>
    <s v="41.234.567/0001-89"/>
    <x v="0"/>
    <s v="MATERIAL B"/>
    <n v="2248"/>
    <x v="3"/>
    <d v="2024-04-11T00:00:00"/>
    <n v="562"/>
    <d v="2024-05-10T00:00:00"/>
    <n v="562"/>
    <d v="2024-05-25T00:00:00"/>
    <n v="562"/>
    <d v="2024-06-09T00:00:00"/>
    <n v="562"/>
  </r>
  <r>
    <x v="268"/>
    <x v="2"/>
    <d v="2024-02-20T00:00:00"/>
    <x v="4"/>
    <x v="1"/>
    <s v="32.345.678/0001-56"/>
    <x v="0"/>
    <s v="MATERIAL C"/>
    <n v="1279"/>
    <x v="2"/>
    <d v="2024-02-21T00:00:00"/>
    <n v="639.5"/>
    <d v="2024-03-21T00:00:00"/>
    <n v="639.5"/>
    <m/>
    <m/>
    <m/>
    <m/>
  </r>
  <r>
    <x v="269"/>
    <x v="22"/>
    <d v="2023-10-07T00:00:00"/>
    <x v="3"/>
    <x v="0"/>
    <s v="75.678.901/0001-67"/>
    <x v="2"/>
    <s v="EXTRAVIADO"/>
    <n v="5377"/>
    <x v="1"/>
    <d v="2023-10-08T00:00:00"/>
    <n v="5377"/>
    <m/>
    <m/>
    <m/>
    <m/>
    <m/>
    <m/>
  </r>
  <r>
    <x v="270"/>
    <x v="5"/>
    <d v="2023-10-04T00:00:00"/>
    <x v="3"/>
    <x v="0"/>
    <s v="89.012.345/0001-45"/>
    <x v="0"/>
    <s v="MATERIAL A"/>
    <n v="8289"/>
    <x v="1"/>
    <d v="2023-10-05T00:00:00"/>
    <n v="8289"/>
    <m/>
    <m/>
    <m/>
    <m/>
    <m/>
    <m/>
  </r>
  <r>
    <x v="271"/>
    <x v="2"/>
    <d v="2023-08-30T00:00:00"/>
    <x v="7"/>
    <x v="0"/>
    <s v="32.345.678/0001-56"/>
    <x v="0"/>
    <s v="MATERIAL C"/>
    <n v="1910"/>
    <x v="2"/>
    <d v="2023-08-31T00:00:00"/>
    <n v="955"/>
    <d v="2023-09-29T00:00:00"/>
    <n v="955"/>
    <m/>
    <m/>
    <m/>
    <m/>
  </r>
  <r>
    <x v="272"/>
    <x v="30"/>
    <d v="2024-01-09T00:00:00"/>
    <x v="0"/>
    <x v="1"/>
    <s v="01.234.567/0001-89"/>
    <x v="1"/>
    <s v="Pagamentos ADMs"/>
    <n v="5586"/>
    <x v="2"/>
    <d v="2024-01-10T00:00:00"/>
    <n v="2793"/>
    <d v="2024-02-08T00:00:00"/>
    <n v="2793"/>
    <m/>
    <m/>
    <m/>
    <m/>
  </r>
  <r>
    <x v="273"/>
    <x v="6"/>
    <d v="2024-03-26T00:00:00"/>
    <x v="8"/>
    <x v="1"/>
    <s v="34.567.890/0001-90"/>
    <x v="2"/>
    <s v="ENVIO INCORRETO"/>
    <n v="6304"/>
    <x v="1"/>
    <d v="2024-03-27T00:00:00"/>
    <n v="6304"/>
    <m/>
    <m/>
    <m/>
    <m/>
    <m/>
    <m/>
  </r>
  <r>
    <x v="274"/>
    <x v="35"/>
    <d v="2023-11-30T00:00:00"/>
    <x v="10"/>
    <x v="0"/>
    <s v="21.234.567/0001-89"/>
    <x v="1"/>
    <s v="Consultoria"/>
    <n v="9891"/>
    <x v="0"/>
    <d v="2023-12-01T00:00:00"/>
    <n v="3297"/>
    <d v="2023-12-30T00:00:00"/>
    <n v="3297"/>
    <d v="2024-01-14T00:00:00"/>
    <n v="3297"/>
    <m/>
    <m/>
  </r>
  <r>
    <x v="275"/>
    <x v="44"/>
    <d v="2023-08-26T00:00:00"/>
    <x v="7"/>
    <x v="0"/>
    <s v="74.567.890/0001-90"/>
    <x v="0"/>
    <s v="MATERIAL C"/>
    <n v="6316"/>
    <x v="3"/>
    <d v="2023-08-27T00:00:00"/>
    <n v="1579"/>
    <d v="2023-09-25T00:00:00"/>
    <n v="1579"/>
    <d v="2023-10-10T00:00:00"/>
    <n v="1579"/>
    <d v="2023-10-25T00:00:00"/>
    <n v="1579"/>
  </r>
  <r>
    <x v="276"/>
    <x v="30"/>
    <d v="2023-08-13T00:00:00"/>
    <x v="7"/>
    <x v="0"/>
    <s v="01.234.567/0001-89"/>
    <x v="1"/>
    <s v="Pagamentos ADMs"/>
    <n v="564"/>
    <x v="3"/>
    <d v="2023-08-14T00:00:00"/>
    <n v="141"/>
    <d v="2023-09-12T00:00:00"/>
    <n v="141"/>
    <d v="2023-09-27T00:00:00"/>
    <n v="141"/>
    <d v="2023-10-12T00:00:00"/>
    <n v="141"/>
  </r>
  <r>
    <x v="277"/>
    <x v="13"/>
    <d v="2024-03-31T00:00:00"/>
    <x v="8"/>
    <x v="1"/>
    <s v="09.012.345/0001-45"/>
    <x v="0"/>
    <s v="MATERIAL D"/>
    <n v="6948"/>
    <x v="0"/>
    <d v="2024-04-01T00:00:00"/>
    <n v="2316"/>
    <d v="2024-04-30T00:00:00"/>
    <n v="2316"/>
    <d v="2024-05-15T00:00:00"/>
    <n v="2316"/>
    <m/>
    <m/>
  </r>
  <r>
    <x v="98"/>
    <x v="31"/>
    <d v="2024-03-18T00:00:00"/>
    <x v="8"/>
    <x v="1"/>
    <s v="33.456.789/0001-23"/>
    <x v="2"/>
    <s v="EXTRAVIADO"/>
    <n v="1836"/>
    <x v="1"/>
    <d v="2024-03-19T00:00:00"/>
    <n v="1836"/>
    <m/>
    <m/>
    <m/>
    <m/>
    <m/>
    <m/>
  </r>
  <r>
    <x v="278"/>
    <x v="42"/>
    <d v="2024-01-28T00:00:00"/>
    <x v="0"/>
    <x v="1"/>
    <s v="31.234.567/0001-89"/>
    <x v="0"/>
    <s v="MATERIAL A"/>
    <n v="9553"/>
    <x v="1"/>
    <d v="2024-01-29T00:00:00"/>
    <n v="9553"/>
    <m/>
    <m/>
    <m/>
    <m/>
    <m/>
    <m/>
  </r>
  <r>
    <x v="279"/>
    <x v="37"/>
    <d v="2023-08-31T00:00:00"/>
    <x v="7"/>
    <x v="0"/>
    <s v="65.678.901/0001-67"/>
    <x v="0"/>
    <s v="MATERIAL E"/>
    <n v="7858"/>
    <x v="2"/>
    <d v="2023-09-01T00:00:00"/>
    <n v="3929"/>
    <d v="2023-09-30T00:00:00"/>
    <n v="3929"/>
    <m/>
    <m/>
    <m/>
    <m/>
  </r>
  <r>
    <x v="280"/>
    <x v="6"/>
    <d v="2023-12-12T00:00:00"/>
    <x v="9"/>
    <x v="0"/>
    <s v="34.567.890/0001-90"/>
    <x v="2"/>
    <s v="ENVIO INCORRETO"/>
    <n v="1293"/>
    <x v="1"/>
    <d v="2023-12-13T00:00:00"/>
    <n v="1293"/>
    <m/>
    <m/>
    <m/>
    <m/>
    <m/>
    <m/>
  </r>
  <r>
    <x v="281"/>
    <x v="35"/>
    <d v="2024-06-03T00:00:00"/>
    <x v="2"/>
    <x v="1"/>
    <s v="21.234.567/0001-89"/>
    <x v="1"/>
    <s v="Consultoria"/>
    <n v="5598"/>
    <x v="3"/>
    <d v="2024-06-04T00:00:00"/>
    <n v="1399.5"/>
    <d v="2024-07-03T00:00:00"/>
    <n v="1399.5"/>
    <d v="2024-07-18T00:00:00"/>
    <n v="1399.5"/>
    <d v="2024-08-02T00:00:00"/>
    <n v="1399.5"/>
  </r>
  <r>
    <x v="282"/>
    <x v="6"/>
    <d v="2023-08-13T00:00:00"/>
    <x v="7"/>
    <x v="0"/>
    <s v="34.567.890/0001-90"/>
    <x v="2"/>
    <s v="ENVIO INCORRETO"/>
    <n v="3434"/>
    <x v="1"/>
    <d v="2023-08-14T00:00:00"/>
    <n v="3434"/>
    <m/>
    <m/>
    <m/>
    <m/>
    <m/>
    <m/>
  </r>
  <r>
    <x v="283"/>
    <x v="8"/>
    <d v="2023-08-28T00:00:00"/>
    <x v="7"/>
    <x v="0"/>
    <s v="67.890.123/0001-01"/>
    <x v="0"/>
    <s v="MATERIAL D"/>
    <n v="8864"/>
    <x v="0"/>
    <d v="2023-08-29T00:00:00"/>
    <n v="2954.6666666666665"/>
    <d v="2023-09-27T00:00:00"/>
    <n v="2954.6666666666665"/>
    <d v="2023-10-12T00:00:00"/>
    <n v="2954.6666666666665"/>
    <m/>
    <m/>
  </r>
  <r>
    <x v="284"/>
    <x v="21"/>
    <d v="2023-07-28T00:00:00"/>
    <x v="6"/>
    <x v="0"/>
    <s v="20.123.456/0001-12"/>
    <x v="0"/>
    <s v="MATERIAL B"/>
    <n v="6331"/>
    <x v="1"/>
    <d v="2023-07-29T00:00:00"/>
    <n v="6331"/>
    <m/>
    <m/>
    <m/>
    <m/>
    <m/>
    <m/>
  </r>
  <r>
    <x v="285"/>
    <x v="40"/>
    <d v="2023-09-06T00:00:00"/>
    <x v="5"/>
    <x v="0"/>
    <s v="12.345.678/0001-56"/>
    <x v="2"/>
    <s v="EXTRAVIADO"/>
    <n v="3309"/>
    <x v="1"/>
    <d v="2023-09-07T00:00:00"/>
    <n v="3309"/>
    <m/>
    <m/>
    <m/>
    <m/>
    <m/>
    <m/>
  </r>
  <r>
    <x v="286"/>
    <x v="20"/>
    <d v="2023-07-10T00:00:00"/>
    <x v="6"/>
    <x v="0"/>
    <s v="85.678.901/0001-67"/>
    <x v="1"/>
    <s v="Pagamentos ADMs"/>
    <n v="7742"/>
    <x v="0"/>
    <d v="2023-07-11T00:00:00"/>
    <n v="2580.6666666666665"/>
    <d v="2023-08-09T00:00:00"/>
    <n v="2580.6666666666665"/>
    <d v="2023-08-24T00:00:00"/>
    <n v="2580.6666666666665"/>
    <m/>
    <m/>
  </r>
  <r>
    <x v="287"/>
    <x v="20"/>
    <d v="2023-05-05T00:00:00"/>
    <x v="1"/>
    <x v="0"/>
    <s v="85.678.901/0001-67"/>
    <x v="1"/>
    <s v="Pagamentos ADMs"/>
    <n v="8698"/>
    <x v="0"/>
    <d v="2023-05-06T00:00:00"/>
    <n v="2899.3333333333335"/>
    <d v="2023-06-04T00:00:00"/>
    <n v="2899.3333333333335"/>
    <d v="2023-06-19T00:00:00"/>
    <n v="2899.3333333333335"/>
    <m/>
    <m/>
  </r>
  <r>
    <x v="288"/>
    <x v="47"/>
    <d v="2023-08-15T00:00:00"/>
    <x v="7"/>
    <x v="0"/>
    <s v="07.890.123/0001-01"/>
    <x v="0"/>
    <s v="MATERIAL E"/>
    <n v="1002"/>
    <x v="0"/>
    <d v="2023-08-16T00:00:00"/>
    <n v="334"/>
    <d v="2023-09-14T00:00:00"/>
    <n v="334"/>
    <d v="2023-09-29T00:00:00"/>
    <n v="334"/>
    <m/>
    <m/>
  </r>
  <r>
    <x v="289"/>
    <x v="4"/>
    <d v="2024-03-04T00:00:00"/>
    <x v="8"/>
    <x v="1"/>
    <s v="88.901.234/0001-78"/>
    <x v="0"/>
    <s v="MATERIAL D"/>
    <n v="5390"/>
    <x v="1"/>
    <d v="2024-03-05T00:00:00"/>
    <n v="5390"/>
    <m/>
    <m/>
    <m/>
    <m/>
    <m/>
    <m/>
  </r>
  <r>
    <x v="290"/>
    <x v="41"/>
    <d v="2023-08-20T00:00:00"/>
    <x v="7"/>
    <x v="0"/>
    <s v="18.901.234/0001-78"/>
    <x v="0"/>
    <s v="MATERIAL D"/>
    <n v="8316"/>
    <x v="2"/>
    <d v="2023-08-21T00:00:00"/>
    <n v="4158"/>
    <d v="2023-09-19T00:00:00"/>
    <n v="4158"/>
    <m/>
    <m/>
    <m/>
    <m/>
  </r>
  <r>
    <x v="291"/>
    <x v="6"/>
    <d v="2023-10-08T00:00:00"/>
    <x v="3"/>
    <x v="0"/>
    <s v="34.567.890/0001-90"/>
    <x v="2"/>
    <s v="ENVIO INCORRETO"/>
    <n v="3139"/>
    <x v="1"/>
    <d v="2023-10-09T00:00:00"/>
    <n v="3139"/>
    <m/>
    <m/>
    <m/>
    <m/>
    <m/>
    <m/>
  </r>
  <r>
    <x v="292"/>
    <x v="30"/>
    <d v="2023-12-14T00:00:00"/>
    <x v="9"/>
    <x v="0"/>
    <s v="01.234.567/0001-89"/>
    <x v="1"/>
    <s v="Pagamentos ADMs"/>
    <n v="2373"/>
    <x v="1"/>
    <d v="2023-12-15T00:00:00"/>
    <n v="2373"/>
    <m/>
    <m/>
    <m/>
    <m/>
    <m/>
    <m/>
  </r>
  <r>
    <x v="293"/>
    <x v="24"/>
    <d v="2023-07-07T00:00:00"/>
    <x v="6"/>
    <x v="0"/>
    <s v="77.890.123/0001-01"/>
    <x v="1"/>
    <s v="Impostos"/>
    <n v="465"/>
    <x v="3"/>
    <d v="2023-07-08T00:00:00"/>
    <n v="116.25"/>
    <d v="2023-08-06T00:00:00"/>
    <n v="116.25"/>
    <d v="2023-08-21T00:00:00"/>
    <n v="116.25"/>
    <d v="2023-09-05T00:00:00"/>
    <n v="116.25"/>
  </r>
  <r>
    <x v="294"/>
    <x v="46"/>
    <d v="2024-02-25T00:00:00"/>
    <x v="4"/>
    <x v="1"/>
    <s v="44.567.890/0001-90"/>
    <x v="0"/>
    <s v="MATERIAL E"/>
    <n v="3828"/>
    <x v="3"/>
    <d v="2024-02-26T00:00:00"/>
    <n v="957"/>
    <d v="2024-03-26T00:00:00"/>
    <n v="957"/>
    <d v="2024-04-10T00:00:00"/>
    <n v="957"/>
    <d v="2024-04-25T00:00:00"/>
    <n v="957"/>
  </r>
  <r>
    <x v="295"/>
    <x v="15"/>
    <d v="2024-02-15T00:00:00"/>
    <x v="4"/>
    <x v="1"/>
    <s v="86.789.012/0001-34"/>
    <x v="0"/>
    <s v="MATERIAL E"/>
    <n v="3075"/>
    <x v="1"/>
    <d v="2024-02-16T00:00:00"/>
    <n v="3075"/>
    <m/>
    <m/>
    <m/>
    <m/>
    <m/>
    <m/>
  </r>
  <r>
    <x v="296"/>
    <x v="9"/>
    <d v="2024-06-22T00:00:00"/>
    <x v="2"/>
    <x v="1"/>
    <s v="54.567.890/0001-90"/>
    <x v="2"/>
    <s v="EXTRAVIADO"/>
    <n v="9709"/>
    <x v="1"/>
    <d v="2024-06-23T00:00:00"/>
    <n v="9709"/>
    <m/>
    <m/>
    <m/>
    <m/>
    <m/>
    <m/>
  </r>
  <r>
    <x v="297"/>
    <x v="47"/>
    <d v="2023-08-04T00:00:00"/>
    <x v="7"/>
    <x v="0"/>
    <s v="07.890.123/0001-01"/>
    <x v="0"/>
    <s v="MATERIAL E"/>
    <n v="6635"/>
    <x v="3"/>
    <d v="2023-08-05T00:00:00"/>
    <n v="1658.75"/>
    <d v="2023-09-03T00:00:00"/>
    <n v="1658.75"/>
    <d v="2023-09-18T00:00:00"/>
    <n v="1658.75"/>
    <d v="2023-10-03T00:00:00"/>
    <n v="1658.75"/>
  </r>
  <r>
    <x v="298"/>
    <x v="48"/>
    <d v="2023-10-05T00:00:00"/>
    <x v="3"/>
    <x v="0"/>
    <s v="56.789.012/0001-34"/>
    <x v="1"/>
    <s v="Impostos"/>
    <n v="3765"/>
    <x v="0"/>
    <d v="2023-10-06T00:00:00"/>
    <n v="1255"/>
    <d v="2023-11-04T00:00:00"/>
    <n v="1255"/>
    <d v="2023-11-19T00:00:00"/>
    <n v="1255"/>
    <m/>
    <m/>
  </r>
  <r>
    <x v="299"/>
    <x v="14"/>
    <d v="2024-02-17T00:00:00"/>
    <x v="4"/>
    <x v="1"/>
    <s v="10.123.456/0001-12"/>
    <x v="0"/>
    <s v="MATERIAL A"/>
    <n v="4503"/>
    <x v="1"/>
    <d v="2024-02-18T00:00:00"/>
    <n v="4503"/>
    <m/>
    <m/>
    <m/>
    <m/>
    <m/>
    <m/>
  </r>
  <r>
    <x v="300"/>
    <x v="44"/>
    <d v="2024-06-05T00:00:00"/>
    <x v="2"/>
    <x v="1"/>
    <s v="74.567.890/0001-90"/>
    <x v="0"/>
    <s v="MATERIAL C"/>
    <n v="9392"/>
    <x v="2"/>
    <d v="2024-06-06T00:00:00"/>
    <n v="4696"/>
    <d v="2024-07-05T00:00:00"/>
    <n v="4696"/>
    <m/>
    <m/>
    <m/>
    <m/>
  </r>
  <r>
    <x v="301"/>
    <x v="12"/>
    <d v="2024-05-13T00:00:00"/>
    <x v="1"/>
    <x v="1"/>
    <s v="52.345.678/0001-56"/>
    <x v="0"/>
    <s v="MATERIAL A"/>
    <n v="9896"/>
    <x v="1"/>
    <d v="2024-05-14T00:00:00"/>
    <n v="9896"/>
    <m/>
    <m/>
    <m/>
    <m/>
    <m/>
    <m/>
  </r>
  <r>
    <x v="302"/>
    <x v="36"/>
    <d v="2024-04-12T00:00:00"/>
    <x v="11"/>
    <x v="1"/>
    <s v="29.012.345/0001-45"/>
    <x v="0"/>
    <s v="MATERIAL B"/>
    <n v="1414"/>
    <x v="1"/>
    <d v="2024-04-13T00:00:00"/>
    <n v="1414"/>
    <m/>
    <m/>
    <m/>
    <m/>
    <m/>
    <m/>
  </r>
  <r>
    <x v="303"/>
    <x v="13"/>
    <d v="2024-05-15T00:00:00"/>
    <x v="1"/>
    <x v="1"/>
    <s v="09.012.345/0001-45"/>
    <x v="0"/>
    <s v="MATERIAL D"/>
    <n v="588"/>
    <x v="2"/>
    <d v="2024-05-16T00:00:00"/>
    <n v="294"/>
    <d v="2024-06-14T00:00:00"/>
    <n v="294"/>
    <m/>
    <m/>
    <m/>
    <m/>
  </r>
  <r>
    <x v="304"/>
    <x v="48"/>
    <d v="2024-03-19T00:00:00"/>
    <x v="8"/>
    <x v="1"/>
    <s v="56.789.012/0001-34"/>
    <x v="1"/>
    <s v="Impostos"/>
    <n v="1196"/>
    <x v="2"/>
    <d v="2024-03-20T00:00:00"/>
    <n v="598"/>
    <d v="2024-04-18T00:00:00"/>
    <n v="598"/>
    <m/>
    <m/>
    <m/>
    <m/>
  </r>
  <r>
    <x v="305"/>
    <x v="5"/>
    <d v="2023-04-25T00:00:00"/>
    <x v="11"/>
    <x v="0"/>
    <s v="89.012.345/0001-45"/>
    <x v="0"/>
    <s v="MATERIAL A"/>
    <n v="3763"/>
    <x v="2"/>
    <d v="2023-04-26T00:00:00"/>
    <n v="1881.5"/>
    <d v="2023-05-25T00:00:00"/>
    <n v="1881.5"/>
    <m/>
    <m/>
    <m/>
    <m/>
  </r>
  <r>
    <x v="306"/>
    <x v="11"/>
    <d v="2023-10-19T00:00:00"/>
    <x v="3"/>
    <x v="0"/>
    <s v="22.345.678/0001-56"/>
    <x v="1"/>
    <s v="Pagamentos ADMs"/>
    <n v="3158"/>
    <x v="3"/>
    <d v="2023-10-20T00:00:00"/>
    <n v="789.5"/>
    <d v="2023-11-18T00:00:00"/>
    <n v="789.5"/>
    <d v="2023-12-03T00:00:00"/>
    <n v="789.5"/>
    <d v="2023-12-18T00:00:00"/>
    <n v="789.5"/>
  </r>
  <r>
    <x v="307"/>
    <x v="43"/>
    <d v="2024-02-11T00:00:00"/>
    <x v="4"/>
    <x v="1"/>
    <s v="64.567.890/0001-90"/>
    <x v="1"/>
    <s v="Pagamentos ADMs"/>
    <n v="805"/>
    <x v="0"/>
    <d v="2024-02-12T00:00:00"/>
    <n v="268.33333333333331"/>
    <d v="2024-03-12T00:00:00"/>
    <n v="268.33333333333331"/>
    <d v="2024-03-27T00:00:00"/>
    <n v="268.33333333333331"/>
    <m/>
    <m/>
  </r>
  <r>
    <x v="308"/>
    <x v="27"/>
    <d v="2024-06-01T00:00:00"/>
    <x v="2"/>
    <x v="1"/>
    <s v="78.901.234/0001-78"/>
    <x v="0"/>
    <s v="MATERIAL B"/>
    <n v="6988"/>
    <x v="2"/>
    <d v="2024-06-02T00:00:00"/>
    <n v="3494"/>
    <d v="2024-07-01T00:00:00"/>
    <n v="3494"/>
    <m/>
    <m/>
    <m/>
    <m/>
  </r>
  <r>
    <x v="309"/>
    <x v="41"/>
    <d v="2023-09-19T00:00:00"/>
    <x v="5"/>
    <x v="0"/>
    <s v="18.901.234/0001-78"/>
    <x v="0"/>
    <s v="MATERIAL D"/>
    <n v="826"/>
    <x v="0"/>
    <d v="2023-09-20T00:00:00"/>
    <n v="275.33333333333331"/>
    <d v="2023-10-19T00:00:00"/>
    <n v="275.33333333333331"/>
    <d v="2023-11-03T00:00:00"/>
    <n v="275.33333333333331"/>
    <m/>
    <m/>
  </r>
  <r>
    <x v="310"/>
    <x v="11"/>
    <d v="2024-04-28T00:00:00"/>
    <x v="11"/>
    <x v="1"/>
    <s v="22.345.678/0001-56"/>
    <x v="1"/>
    <s v="Pagamentos ADMs"/>
    <n v="9423"/>
    <x v="2"/>
    <d v="2024-04-29T00:00:00"/>
    <n v="4711.5"/>
    <d v="2024-05-28T00:00:00"/>
    <n v="4711.5"/>
    <m/>
    <m/>
    <m/>
    <m/>
  </r>
  <r>
    <x v="311"/>
    <x v="17"/>
    <d v="2024-09-08T00:00:00"/>
    <x v="5"/>
    <x v="1"/>
    <s v="66.789.012/0001-34"/>
    <x v="1"/>
    <s v="Factoring Fee"/>
    <n v="568"/>
    <x v="0"/>
    <d v="2024-09-09T00:00:00"/>
    <n v="189.33333333333334"/>
    <d v="2024-10-08T00:00:00"/>
    <n v="189.33333333333334"/>
    <d v="2024-10-23T00:00:00"/>
    <n v="189.33333333333334"/>
    <m/>
    <m/>
  </r>
  <r>
    <x v="312"/>
    <x v="6"/>
    <d v="2024-02-07T00:00:00"/>
    <x v="4"/>
    <x v="1"/>
    <s v="34.567.890/0001-90"/>
    <x v="2"/>
    <s v="ENVIO INCORRETO"/>
    <n v="684"/>
    <x v="1"/>
    <d v="2024-02-08T00:00:00"/>
    <n v="684"/>
    <m/>
    <m/>
    <m/>
    <m/>
    <m/>
    <m/>
  </r>
  <r>
    <x v="313"/>
    <x v="28"/>
    <d v="2024-07-31T00:00:00"/>
    <x v="6"/>
    <x v="1"/>
    <s v="98.901.234/0001-78"/>
    <x v="1"/>
    <s v="Impostos"/>
    <n v="7836"/>
    <x v="1"/>
    <d v="2024-08-01T00:00:00"/>
    <n v="7836"/>
    <m/>
    <m/>
    <m/>
    <m/>
    <m/>
    <m/>
  </r>
  <r>
    <x v="314"/>
    <x v="1"/>
    <d v="2024-06-17T00:00:00"/>
    <x v="2"/>
    <x v="1"/>
    <s v="45.678.901/0001-67"/>
    <x v="1"/>
    <s v="Factoring Fee"/>
    <n v="2027"/>
    <x v="1"/>
    <d v="2024-06-18T00:00:00"/>
    <n v="2027"/>
    <m/>
    <m/>
    <m/>
    <m/>
    <m/>
    <m/>
  </r>
  <r>
    <x v="315"/>
    <x v="0"/>
    <d v="2024-05-09T00:00:00"/>
    <x v="1"/>
    <x v="1"/>
    <s v="96.789.012/0001-34"/>
    <x v="2"/>
    <s v="EXTRAVIADO"/>
    <n v="6089"/>
    <x v="1"/>
    <d v="2024-05-10T00:00:00"/>
    <n v="6089"/>
    <m/>
    <m/>
    <m/>
    <m/>
    <m/>
    <m/>
  </r>
  <r>
    <x v="316"/>
    <x v="14"/>
    <d v="2024-02-18T00:00:00"/>
    <x v="4"/>
    <x v="1"/>
    <s v="10.123.456/0001-12"/>
    <x v="0"/>
    <s v="MATERIAL A"/>
    <n v="3771"/>
    <x v="3"/>
    <d v="2024-02-19T00:00:00"/>
    <n v="942.75"/>
    <d v="2024-03-19T00:00:00"/>
    <n v="942.75"/>
    <d v="2024-04-03T00:00:00"/>
    <n v="942.75"/>
    <d v="2024-04-18T00:00:00"/>
    <n v="942.75"/>
  </r>
  <r>
    <x v="317"/>
    <x v="47"/>
    <d v="2023-11-20T00:00:00"/>
    <x v="10"/>
    <x v="0"/>
    <s v="07.890.123/0001-01"/>
    <x v="0"/>
    <s v="MATERIAL E"/>
    <n v="8695"/>
    <x v="1"/>
    <d v="2023-11-21T00:00:00"/>
    <n v="8695"/>
    <m/>
    <m/>
    <m/>
    <m/>
    <m/>
    <m/>
  </r>
  <r>
    <x v="318"/>
    <x v="8"/>
    <d v="2023-10-06T00:00:00"/>
    <x v="3"/>
    <x v="0"/>
    <s v="67.890.123/0001-01"/>
    <x v="0"/>
    <s v="MATERIAL D"/>
    <n v="3941"/>
    <x v="1"/>
    <d v="2023-10-07T00:00:00"/>
    <n v="3941"/>
    <m/>
    <m/>
    <m/>
    <m/>
    <m/>
    <m/>
  </r>
  <r>
    <x v="319"/>
    <x v="36"/>
    <d v="2023-07-03T00:00:00"/>
    <x v="6"/>
    <x v="0"/>
    <s v="29.012.345/0001-45"/>
    <x v="0"/>
    <s v="MATERIAL B"/>
    <n v="7529"/>
    <x v="2"/>
    <d v="2023-07-04T00:00:00"/>
    <n v="3764.5"/>
    <d v="2023-08-02T00:00:00"/>
    <n v="3764.5"/>
    <m/>
    <m/>
    <m/>
    <m/>
  </r>
  <r>
    <x v="320"/>
    <x v="4"/>
    <d v="2023-08-18T00:00:00"/>
    <x v="7"/>
    <x v="0"/>
    <s v="88.901.234/0001-78"/>
    <x v="0"/>
    <s v="MATERIAL D"/>
    <n v="3809"/>
    <x v="0"/>
    <d v="2023-08-19T00:00:00"/>
    <n v="1269.6666666666667"/>
    <d v="2023-09-17T00:00:00"/>
    <n v="1269.6666666666667"/>
    <d v="2023-10-02T00:00:00"/>
    <n v="1269.6666666666667"/>
    <m/>
    <m/>
  </r>
  <r>
    <x v="321"/>
    <x v="17"/>
    <d v="2023-11-27T00:00:00"/>
    <x v="10"/>
    <x v="0"/>
    <s v="66.789.012/0001-34"/>
    <x v="1"/>
    <s v="Factoring Fee"/>
    <n v="9961"/>
    <x v="0"/>
    <d v="2023-11-28T00:00:00"/>
    <n v="3320.3333333333335"/>
    <d v="2023-12-27T00:00:00"/>
    <n v="3320.3333333333335"/>
    <d v="2024-01-11T00:00:00"/>
    <n v="3320.3333333333335"/>
    <m/>
    <m/>
  </r>
  <r>
    <x v="322"/>
    <x v="33"/>
    <d v="2024-04-13T00:00:00"/>
    <x v="11"/>
    <x v="1"/>
    <s v="87.890.123/0001-01"/>
    <x v="1"/>
    <s v="Factoring Fee"/>
    <n v="3972"/>
    <x v="1"/>
    <d v="2024-04-14T00:00:00"/>
    <n v="3972"/>
    <m/>
    <m/>
    <m/>
    <m/>
    <m/>
    <m/>
  </r>
  <r>
    <x v="323"/>
    <x v="9"/>
    <d v="2023-05-23T00:00:00"/>
    <x v="1"/>
    <x v="0"/>
    <s v="54.567.890/0001-90"/>
    <x v="2"/>
    <s v="EXTRAVIADO"/>
    <n v="4058"/>
    <x v="1"/>
    <d v="2023-05-24T00:00:00"/>
    <n v="4058"/>
    <m/>
    <m/>
    <m/>
    <m/>
    <m/>
    <m/>
  </r>
  <r>
    <x v="324"/>
    <x v="39"/>
    <d v="2023-11-03T00:00:00"/>
    <x v="10"/>
    <x v="0"/>
    <s v="90.123.456/0001-12"/>
    <x v="1"/>
    <s v="Consultoria"/>
    <n v="6809"/>
    <x v="0"/>
    <d v="2023-11-04T00:00:00"/>
    <n v="2269.6666666666665"/>
    <d v="2023-12-03T00:00:00"/>
    <n v="2269.6666666666665"/>
    <d v="2023-12-18T00:00:00"/>
    <n v="2269.6666666666665"/>
    <m/>
    <m/>
  </r>
  <r>
    <x v="325"/>
    <x v="48"/>
    <d v="2023-06-02T00:00:00"/>
    <x v="2"/>
    <x v="0"/>
    <s v="56.789.012/0001-34"/>
    <x v="1"/>
    <s v="Impostos"/>
    <n v="4005"/>
    <x v="1"/>
    <d v="2023-06-03T00:00:00"/>
    <n v="4005"/>
    <m/>
    <m/>
    <m/>
    <m/>
    <m/>
    <m/>
  </r>
  <r>
    <x v="326"/>
    <x v="3"/>
    <d v="2024-02-25T00:00:00"/>
    <x v="4"/>
    <x v="1"/>
    <s v="99.012.345/0001-45"/>
    <x v="0"/>
    <s v="MATERIAL B"/>
    <n v="7997"/>
    <x v="0"/>
    <d v="2024-02-26T00:00:00"/>
    <n v="2665.6666666666665"/>
    <d v="2024-03-26T00:00:00"/>
    <n v="2665.6666666666665"/>
    <d v="2024-04-10T00:00:00"/>
    <n v="2665.6666666666665"/>
    <m/>
    <m/>
  </r>
  <r>
    <x v="327"/>
    <x v="12"/>
    <d v="2023-12-03T00:00:00"/>
    <x v="9"/>
    <x v="0"/>
    <s v="52.345.678/0001-56"/>
    <x v="0"/>
    <s v="MATERIAL A"/>
    <n v="3814"/>
    <x v="0"/>
    <d v="2023-12-04T00:00:00"/>
    <n v="1271.3333333333333"/>
    <d v="2024-01-02T00:00:00"/>
    <n v="1271.3333333333333"/>
    <d v="2024-01-17T00:00:00"/>
    <n v="1271.3333333333333"/>
    <m/>
    <m/>
  </r>
  <r>
    <x v="328"/>
    <x v="23"/>
    <d v="2023-08-30T00:00:00"/>
    <x v="7"/>
    <x v="0"/>
    <s v="55.678.901/0001-67"/>
    <x v="2"/>
    <s v="ENVIO INCORRETO"/>
    <n v="8017"/>
    <x v="1"/>
    <d v="2023-08-31T00:00:00"/>
    <n v="8017"/>
    <m/>
    <m/>
    <m/>
    <m/>
    <m/>
    <m/>
  </r>
  <r>
    <x v="329"/>
    <x v="39"/>
    <d v="2023-11-20T00:00:00"/>
    <x v="10"/>
    <x v="0"/>
    <s v="90.123.456/0001-12"/>
    <x v="1"/>
    <s v="Consultoria"/>
    <n v="7719"/>
    <x v="2"/>
    <d v="2023-11-21T00:00:00"/>
    <n v="3859.5"/>
    <d v="2023-12-20T00:00:00"/>
    <n v="3859.5"/>
    <m/>
    <m/>
    <m/>
    <m/>
  </r>
  <r>
    <x v="330"/>
    <x v="38"/>
    <d v="2023-09-06T00:00:00"/>
    <x v="5"/>
    <x v="0"/>
    <s v="63.456.789/0001-23"/>
    <x v="1"/>
    <s v="Consultoria"/>
    <n v="8837"/>
    <x v="1"/>
    <d v="2023-09-07T00:00:00"/>
    <n v="8837"/>
    <m/>
    <m/>
    <m/>
    <m/>
    <m/>
    <m/>
  </r>
  <r>
    <x v="331"/>
    <x v="9"/>
    <d v="2023-07-07T00:00:00"/>
    <x v="6"/>
    <x v="0"/>
    <s v="54.567.890/0001-90"/>
    <x v="2"/>
    <s v="EXTRAVIADO"/>
    <n v="3117"/>
    <x v="1"/>
    <d v="2023-07-08T00:00:00"/>
    <n v="3117"/>
    <m/>
    <m/>
    <m/>
    <m/>
    <m/>
    <m/>
  </r>
  <r>
    <x v="332"/>
    <x v="5"/>
    <d v="2024-01-11T00:00:00"/>
    <x v="0"/>
    <x v="1"/>
    <s v="89.012.345/0001-45"/>
    <x v="0"/>
    <s v="MATERIAL A"/>
    <n v="781"/>
    <x v="3"/>
    <d v="2024-01-12T00:00:00"/>
    <n v="195.25"/>
    <d v="2024-02-10T00:00:00"/>
    <n v="195.25"/>
    <d v="2024-02-25T00:00:00"/>
    <n v="195.25"/>
    <d v="2024-03-11T00:00:00"/>
    <n v="195.25"/>
  </r>
  <r>
    <x v="333"/>
    <x v="30"/>
    <d v="2023-11-29T00:00:00"/>
    <x v="10"/>
    <x v="0"/>
    <s v="01.234.567/0001-89"/>
    <x v="1"/>
    <s v="Pagamentos ADMs"/>
    <n v="2684"/>
    <x v="2"/>
    <d v="2023-11-30T00:00:00"/>
    <n v="1342"/>
    <d v="2023-12-29T00:00:00"/>
    <n v="1342"/>
    <m/>
    <m/>
    <m/>
    <m/>
  </r>
  <r>
    <x v="334"/>
    <x v="21"/>
    <d v="2023-05-30T00:00:00"/>
    <x v="1"/>
    <x v="0"/>
    <s v="20.123.456/0001-12"/>
    <x v="0"/>
    <s v="MATERIAL B"/>
    <n v="5313"/>
    <x v="2"/>
    <d v="2023-05-31T00:00:00"/>
    <n v="2656.5"/>
    <d v="2023-06-29T00:00:00"/>
    <n v="2656.5"/>
    <m/>
    <m/>
    <m/>
    <m/>
  </r>
  <r>
    <x v="335"/>
    <x v="36"/>
    <d v="2024-01-03T00:00:00"/>
    <x v="0"/>
    <x v="1"/>
    <s v="29.012.345/0001-45"/>
    <x v="0"/>
    <s v="MATERIAL B"/>
    <n v="1085"/>
    <x v="0"/>
    <d v="2024-01-04T00:00:00"/>
    <n v="361.66666666666669"/>
    <d v="2024-02-02T00:00:00"/>
    <n v="361.66666666666669"/>
    <d v="2024-02-17T00:00:00"/>
    <n v="361.66666666666669"/>
    <m/>
    <m/>
  </r>
  <r>
    <x v="336"/>
    <x v="37"/>
    <d v="2023-12-12T00:00:00"/>
    <x v="9"/>
    <x v="0"/>
    <s v="65.678.901/0001-67"/>
    <x v="0"/>
    <s v="MATERIAL E"/>
    <n v="9429"/>
    <x v="2"/>
    <d v="2023-12-13T00:00:00"/>
    <n v="4714.5"/>
    <d v="2024-01-11T00:00:00"/>
    <n v="4714.5"/>
    <m/>
    <m/>
    <m/>
    <m/>
  </r>
  <r>
    <x v="337"/>
    <x v="17"/>
    <d v="2024-01-28T00:00:00"/>
    <x v="0"/>
    <x v="1"/>
    <s v="66.789.012/0001-34"/>
    <x v="1"/>
    <s v="Factoring Fee"/>
    <n v="8504"/>
    <x v="1"/>
    <d v="2024-01-29T00:00:00"/>
    <n v="8504"/>
    <m/>
    <m/>
    <m/>
    <m/>
    <m/>
    <m/>
  </r>
  <r>
    <x v="338"/>
    <x v="29"/>
    <d v="2023-06-24T00:00:00"/>
    <x v="2"/>
    <x v="0"/>
    <s v="76.789.012/0001-34"/>
    <x v="2"/>
    <s v="ENVIO INCORRETO"/>
    <n v="1646"/>
    <x v="1"/>
    <d v="2023-06-25T00:00:00"/>
    <n v="1646"/>
    <m/>
    <m/>
    <m/>
    <m/>
    <m/>
    <m/>
  </r>
  <r>
    <x v="339"/>
    <x v="24"/>
    <d v="2023-12-27T00:00:00"/>
    <x v="9"/>
    <x v="0"/>
    <s v="77.890.123/0001-01"/>
    <x v="1"/>
    <s v="Impostos"/>
    <n v="7876"/>
    <x v="3"/>
    <d v="2023-12-28T00:00:00"/>
    <n v="1969"/>
    <d v="2024-01-26T00:00:00"/>
    <n v="1969"/>
    <d v="2024-02-10T00:00:00"/>
    <n v="1969"/>
    <d v="2024-02-25T00:00:00"/>
    <n v="1969"/>
  </r>
  <r>
    <x v="340"/>
    <x v="4"/>
    <d v="2024-01-11T00:00:00"/>
    <x v="0"/>
    <x v="1"/>
    <s v="88.901.234/0001-78"/>
    <x v="0"/>
    <s v="MATERIAL D"/>
    <n v="4203"/>
    <x v="0"/>
    <d v="2024-01-12T00:00:00"/>
    <n v="1401"/>
    <d v="2024-02-10T00:00:00"/>
    <n v="1401"/>
    <d v="2024-02-25T00:00:00"/>
    <n v="1401"/>
    <m/>
    <m/>
  </r>
  <r>
    <x v="341"/>
    <x v="3"/>
    <d v="2023-10-24T00:00:00"/>
    <x v="3"/>
    <x v="0"/>
    <s v="99.012.345/0001-45"/>
    <x v="0"/>
    <s v="MATERIAL B"/>
    <n v="5128"/>
    <x v="1"/>
    <d v="2023-10-25T00:00:00"/>
    <n v="5128"/>
    <m/>
    <m/>
    <m/>
    <m/>
    <m/>
    <m/>
  </r>
  <r>
    <x v="342"/>
    <x v="1"/>
    <d v="2023-10-19T00:00:00"/>
    <x v="3"/>
    <x v="0"/>
    <s v="45.678.901/0001-67"/>
    <x v="1"/>
    <s v="Factoring Fee"/>
    <n v="6535"/>
    <x v="2"/>
    <d v="2023-10-20T00:00:00"/>
    <n v="3267.5"/>
    <d v="2023-11-18T00:00:00"/>
    <n v="3267.5"/>
    <m/>
    <m/>
    <m/>
    <m/>
  </r>
  <r>
    <x v="343"/>
    <x v="25"/>
    <d v="2023-12-08T00:00:00"/>
    <x v="9"/>
    <x v="0"/>
    <s v="11.234.567/0001-89"/>
    <x v="0"/>
    <s v="MATERIAL C"/>
    <n v="9749"/>
    <x v="1"/>
    <d v="2023-12-09T00:00:00"/>
    <n v="9749"/>
    <m/>
    <m/>
    <m/>
    <m/>
    <m/>
    <m/>
  </r>
  <r>
    <x v="344"/>
    <x v="7"/>
    <d v="2024-04-16T00:00:00"/>
    <x v="11"/>
    <x v="1"/>
    <s v="08.901.234/0001-78"/>
    <x v="1"/>
    <s v="Factoring Fee"/>
    <n v="7122"/>
    <x v="2"/>
    <d v="2024-04-17T00:00:00"/>
    <n v="3561"/>
    <d v="2024-05-16T00:00:00"/>
    <n v="3561"/>
    <m/>
    <m/>
    <m/>
    <m/>
  </r>
  <r>
    <x v="345"/>
    <x v="11"/>
    <d v="2023-11-18T00:00:00"/>
    <x v="10"/>
    <x v="0"/>
    <s v="22.345.678/0001-56"/>
    <x v="1"/>
    <s v="Pagamentos ADMs"/>
    <n v="5829"/>
    <x v="2"/>
    <d v="2023-11-19T00:00:00"/>
    <n v="2914.5"/>
    <d v="2023-12-18T00:00:00"/>
    <n v="2914.5"/>
    <m/>
    <m/>
    <m/>
    <m/>
  </r>
  <r>
    <x v="346"/>
    <x v="6"/>
    <d v="2023-09-28T00:00:00"/>
    <x v="5"/>
    <x v="0"/>
    <s v="34.567.890/0001-90"/>
    <x v="2"/>
    <s v="ENVIO INCORRETO"/>
    <n v="540"/>
    <x v="1"/>
    <d v="2023-09-29T00:00:00"/>
    <n v="540"/>
    <m/>
    <m/>
    <m/>
    <m/>
    <m/>
    <m/>
  </r>
  <r>
    <x v="347"/>
    <x v="41"/>
    <d v="2023-09-07T00:00:00"/>
    <x v="5"/>
    <x v="0"/>
    <s v="18.901.234/0001-78"/>
    <x v="0"/>
    <s v="MATERIAL D"/>
    <n v="8984"/>
    <x v="2"/>
    <d v="2023-09-08T00:00:00"/>
    <n v="4492"/>
    <d v="2023-10-07T00:00:00"/>
    <n v="4492"/>
    <m/>
    <m/>
    <m/>
    <m/>
  </r>
  <r>
    <x v="348"/>
    <x v="17"/>
    <d v="2023-10-03T00:00:00"/>
    <x v="3"/>
    <x v="0"/>
    <s v="66.789.012/0001-34"/>
    <x v="1"/>
    <s v="Factoring Fee"/>
    <n v="6497"/>
    <x v="1"/>
    <d v="2023-10-04T00:00:00"/>
    <n v="6497"/>
    <m/>
    <m/>
    <m/>
    <m/>
    <m/>
    <m/>
  </r>
  <r>
    <x v="349"/>
    <x v="30"/>
    <d v="2024-06-18T00:00:00"/>
    <x v="2"/>
    <x v="1"/>
    <s v="01.234.567/0001-89"/>
    <x v="1"/>
    <s v="Pagamentos ADMs"/>
    <n v="758"/>
    <x v="2"/>
    <d v="2024-06-19T00:00:00"/>
    <n v="379"/>
    <d v="2024-07-18T00:00:00"/>
    <n v="379"/>
    <m/>
    <m/>
    <m/>
    <m/>
  </r>
  <r>
    <x v="350"/>
    <x v="31"/>
    <d v="2024-03-28T00:00:00"/>
    <x v="8"/>
    <x v="1"/>
    <s v="33.456.789/0001-23"/>
    <x v="2"/>
    <s v="EXTRAVIADO"/>
    <n v="4543"/>
    <x v="1"/>
    <d v="2024-03-29T00:00:00"/>
    <n v="4543"/>
    <m/>
    <m/>
    <m/>
    <m/>
    <m/>
    <m/>
  </r>
  <r>
    <x v="351"/>
    <x v="24"/>
    <d v="2023-09-30T00:00:00"/>
    <x v="5"/>
    <x v="0"/>
    <s v="77.890.123/0001-01"/>
    <x v="1"/>
    <s v="Impostos"/>
    <n v="7578"/>
    <x v="1"/>
    <d v="2023-10-01T00:00:00"/>
    <n v="7578"/>
    <m/>
    <m/>
    <m/>
    <m/>
    <m/>
    <m/>
  </r>
  <r>
    <x v="352"/>
    <x v="27"/>
    <d v="2023-11-13T00:00:00"/>
    <x v="10"/>
    <x v="0"/>
    <s v="78.901.234/0001-78"/>
    <x v="0"/>
    <s v="MATERIAL B"/>
    <n v="4592"/>
    <x v="0"/>
    <d v="2023-11-14T00:00:00"/>
    <n v="1530.6666666666667"/>
    <d v="2023-12-13T00:00:00"/>
    <n v="1530.6666666666667"/>
    <d v="2023-12-28T00:00:00"/>
    <n v="1530.6666666666667"/>
    <m/>
    <m/>
  </r>
  <r>
    <x v="353"/>
    <x v="29"/>
    <d v="2023-09-14T00:00:00"/>
    <x v="5"/>
    <x v="0"/>
    <s v="76.789.012/0001-34"/>
    <x v="2"/>
    <s v="ENVIO INCORRETO"/>
    <n v="5792"/>
    <x v="1"/>
    <d v="2023-09-15T00:00:00"/>
    <n v="5792"/>
    <m/>
    <m/>
    <m/>
    <m/>
    <m/>
    <m/>
  </r>
  <r>
    <x v="354"/>
    <x v="0"/>
    <d v="2024-01-20T00:00:00"/>
    <x v="0"/>
    <x v="1"/>
    <s v="96.789.012/0001-34"/>
    <x v="2"/>
    <s v="EXTRAVIADO"/>
    <n v="616"/>
    <x v="1"/>
    <d v="2024-01-21T00:00:00"/>
    <n v="616"/>
    <m/>
    <m/>
    <m/>
    <m/>
    <m/>
    <m/>
  </r>
  <r>
    <x v="355"/>
    <x v="39"/>
    <d v="2024-07-05T00:00:00"/>
    <x v="6"/>
    <x v="1"/>
    <s v="90.123.456/0001-12"/>
    <x v="1"/>
    <s v="Consultoria"/>
    <n v="4140"/>
    <x v="1"/>
    <d v="2024-07-06T00:00:00"/>
    <n v="4140"/>
    <m/>
    <m/>
    <m/>
    <m/>
    <m/>
    <m/>
  </r>
  <r>
    <x v="356"/>
    <x v="3"/>
    <d v="2023-11-22T00:00:00"/>
    <x v="10"/>
    <x v="0"/>
    <s v="99.012.345/0001-45"/>
    <x v="0"/>
    <s v="MATERIAL B"/>
    <n v="9229"/>
    <x v="2"/>
    <d v="2023-11-23T00:00:00"/>
    <n v="4614.5"/>
    <d v="2023-12-22T00:00:00"/>
    <n v="4614.5"/>
    <m/>
    <m/>
    <m/>
    <m/>
  </r>
  <r>
    <x v="357"/>
    <x v="1"/>
    <d v="2023-05-15T00:00:00"/>
    <x v="1"/>
    <x v="0"/>
    <s v="45.678.901/0001-67"/>
    <x v="1"/>
    <s v="Factoring Fee"/>
    <n v="3522"/>
    <x v="2"/>
    <d v="2023-05-16T00:00:00"/>
    <n v="1761"/>
    <d v="2023-06-14T00:00:00"/>
    <n v="1761"/>
    <m/>
    <m/>
    <m/>
    <m/>
  </r>
  <r>
    <x v="358"/>
    <x v="10"/>
    <d v="2024-07-06T00:00:00"/>
    <x v="6"/>
    <x v="1"/>
    <s v="53.456.789/0001-23"/>
    <x v="0"/>
    <s v="MATERIAL C"/>
    <n v="7682"/>
    <x v="1"/>
    <d v="2024-07-07T00:00:00"/>
    <n v="7682"/>
    <m/>
    <m/>
    <m/>
    <m/>
    <m/>
    <m/>
  </r>
  <r>
    <x v="359"/>
    <x v="43"/>
    <d v="2024-01-11T00:00:00"/>
    <x v="0"/>
    <x v="1"/>
    <s v="64.567.890/0001-90"/>
    <x v="1"/>
    <s v="Pagamentos ADMs"/>
    <n v="1237"/>
    <x v="2"/>
    <d v="2024-01-12T00:00:00"/>
    <n v="618.5"/>
    <d v="2024-02-10T00:00:00"/>
    <n v="618.5"/>
    <m/>
    <m/>
    <m/>
    <m/>
  </r>
  <r>
    <x v="360"/>
    <x v="2"/>
    <d v="2024-01-22T00:00:00"/>
    <x v="0"/>
    <x v="1"/>
    <s v="32.345.678/0001-56"/>
    <x v="0"/>
    <s v="MATERIAL C"/>
    <n v="6432"/>
    <x v="3"/>
    <d v="2024-01-23T00:00:00"/>
    <n v="1608"/>
    <d v="2024-02-21T00:00:00"/>
    <n v="1608"/>
    <d v="2024-03-07T00:00:00"/>
    <n v="1608"/>
    <d v="2024-03-22T00:00:00"/>
    <n v="1608"/>
  </r>
  <r>
    <x v="361"/>
    <x v="26"/>
    <d v="2024-03-06T00:00:00"/>
    <x v="8"/>
    <x v="1"/>
    <s v="41.234.567/0001-89"/>
    <x v="0"/>
    <s v="MATERIAL B"/>
    <n v="3676"/>
    <x v="0"/>
    <d v="2024-03-07T00:00:00"/>
    <n v="1225.3333333333333"/>
    <d v="2024-04-05T00:00:00"/>
    <n v="1225.3333333333333"/>
    <d v="2024-04-20T00:00:00"/>
    <n v="1225.3333333333333"/>
    <m/>
    <m/>
  </r>
  <r>
    <x v="362"/>
    <x v="44"/>
    <d v="2024-09-15T00:00:00"/>
    <x v="5"/>
    <x v="1"/>
    <s v="74.567.890/0001-90"/>
    <x v="0"/>
    <s v="MATERIAL C"/>
    <n v="2707"/>
    <x v="3"/>
    <d v="2024-09-16T00:00:00"/>
    <n v="676.75"/>
    <d v="2024-10-15T00:00:00"/>
    <n v="676.75"/>
    <d v="2024-10-30T00:00:00"/>
    <n v="676.75"/>
    <d v="2024-11-14T00:00:00"/>
    <n v="676.75"/>
  </r>
  <r>
    <x v="363"/>
    <x v="15"/>
    <d v="2023-08-15T00:00:00"/>
    <x v="7"/>
    <x v="0"/>
    <s v="86.789.012/0001-34"/>
    <x v="0"/>
    <s v="MATERIAL E"/>
    <n v="4611"/>
    <x v="3"/>
    <d v="2023-08-16T00:00:00"/>
    <n v="1152.75"/>
    <d v="2023-09-14T00:00:00"/>
    <n v="1152.75"/>
    <d v="2023-09-29T00:00:00"/>
    <n v="1152.75"/>
    <d v="2023-10-14T00:00:00"/>
    <n v="1152.75"/>
  </r>
  <r>
    <x v="364"/>
    <x v="0"/>
    <d v="2024-07-30T00:00:00"/>
    <x v="6"/>
    <x v="1"/>
    <s v="96.789.012/0001-34"/>
    <x v="2"/>
    <s v="EXTRAVIADO"/>
    <n v="7421"/>
    <x v="1"/>
    <d v="2024-07-31T00:00:00"/>
    <n v="7421"/>
    <m/>
    <m/>
    <m/>
    <m/>
    <m/>
    <m/>
  </r>
  <r>
    <x v="365"/>
    <x v="19"/>
    <d v="2023-09-25T00:00:00"/>
    <x v="5"/>
    <x v="0"/>
    <s v="43.456.789/0001-23"/>
    <x v="1"/>
    <s v="Pagamentos ADMs"/>
    <n v="9599"/>
    <x v="1"/>
    <d v="2023-09-26T00:00:00"/>
    <n v="9599"/>
    <m/>
    <m/>
    <m/>
    <m/>
    <m/>
    <m/>
  </r>
  <r>
    <x v="366"/>
    <x v="32"/>
    <d v="2024-01-23T00:00:00"/>
    <x v="0"/>
    <x v="1"/>
    <s v="23.456.789/0001-23"/>
    <x v="0"/>
    <s v="MATERIAL E"/>
    <n v="5255"/>
    <x v="2"/>
    <d v="2024-01-24T00:00:00"/>
    <n v="2627.5"/>
    <d v="2024-02-22T00:00:00"/>
    <n v="2627.5"/>
    <m/>
    <m/>
    <m/>
    <m/>
  </r>
  <r>
    <x v="367"/>
    <x v="19"/>
    <d v="2023-08-26T00:00:00"/>
    <x v="7"/>
    <x v="0"/>
    <s v="43.456.789/0001-23"/>
    <x v="1"/>
    <s v="Pagamentos ADMs"/>
    <n v="3320"/>
    <x v="0"/>
    <d v="2023-08-27T00:00:00"/>
    <n v="1106.6666666666667"/>
    <d v="2023-09-25T00:00:00"/>
    <n v="1106.6666666666667"/>
    <d v="2023-10-10T00:00:00"/>
    <n v="1106.6666666666667"/>
    <m/>
    <m/>
  </r>
  <r>
    <x v="368"/>
    <x v="43"/>
    <d v="2023-04-25T00:00:00"/>
    <x v="11"/>
    <x v="0"/>
    <s v="64.567.890/0001-90"/>
    <x v="1"/>
    <s v="Pagamentos ADMs"/>
    <n v="7447"/>
    <x v="1"/>
    <d v="2023-04-26T00:00:00"/>
    <n v="7447"/>
    <m/>
    <m/>
    <m/>
    <m/>
    <m/>
    <m/>
  </r>
  <r>
    <x v="369"/>
    <x v="16"/>
    <d v="2024-08-12T00:00:00"/>
    <x v="7"/>
    <x v="1"/>
    <s v="97.890.123/0001-01"/>
    <x v="2"/>
    <s v="ENVIO INCORRETO"/>
    <n v="3383"/>
    <x v="1"/>
    <d v="2024-08-13T00:00:00"/>
    <n v="3383"/>
    <m/>
    <m/>
    <m/>
    <m/>
    <m/>
    <m/>
  </r>
  <r>
    <x v="370"/>
    <x v="1"/>
    <d v="2024-01-28T00:00:00"/>
    <x v="0"/>
    <x v="1"/>
    <s v="45.678.901/0001-67"/>
    <x v="1"/>
    <s v="Factoring Fee"/>
    <n v="4137"/>
    <x v="3"/>
    <d v="2024-01-29T00:00:00"/>
    <n v="1034.25"/>
    <d v="2024-02-27T00:00:00"/>
    <n v="1034.25"/>
    <d v="2024-03-13T00:00:00"/>
    <n v="1034.25"/>
    <d v="2024-03-28T00:00:00"/>
    <n v="1034.25"/>
  </r>
  <r>
    <x v="371"/>
    <x v="48"/>
    <d v="2023-06-18T00:00:00"/>
    <x v="2"/>
    <x v="0"/>
    <s v="56.789.012/0001-34"/>
    <x v="1"/>
    <s v="Impostos"/>
    <n v="9391"/>
    <x v="1"/>
    <d v="2023-06-19T00:00:00"/>
    <n v="9391"/>
    <m/>
    <m/>
    <m/>
    <m/>
    <m/>
    <m/>
  </r>
  <r>
    <x v="372"/>
    <x v="40"/>
    <d v="2023-05-15T00:00:00"/>
    <x v="1"/>
    <x v="0"/>
    <s v="12.345.678/0001-56"/>
    <x v="2"/>
    <s v="EXTRAVIADO"/>
    <n v="8548"/>
    <x v="1"/>
    <d v="2023-05-16T00:00:00"/>
    <n v="8548"/>
    <m/>
    <m/>
    <m/>
    <m/>
    <m/>
    <m/>
  </r>
  <r>
    <x v="373"/>
    <x v="0"/>
    <d v="2023-07-15T00:00:00"/>
    <x v="6"/>
    <x v="0"/>
    <s v="96.789.012/0001-34"/>
    <x v="2"/>
    <s v="EXTRAVIADO"/>
    <n v="8952"/>
    <x v="1"/>
    <d v="2023-07-16T00:00:00"/>
    <n v="8952"/>
    <m/>
    <m/>
    <m/>
    <m/>
    <m/>
    <m/>
  </r>
  <r>
    <x v="374"/>
    <x v="45"/>
    <d v="2024-03-13T00:00:00"/>
    <x v="8"/>
    <x v="1"/>
    <s v="19.012.345/0001-45"/>
    <x v="1"/>
    <s v="Impostos"/>
    <n v="2638"/>
    <x v="3"/>
    <d v="2024-03-14T00:00:00"/>
    <n v="659.5"/>
    <d v="2024-04-12T00:00:00"/>
    <n v="659.5"/>
    <d v="2024-04-27T00:00:00"/>
    <n v="659.5"/>
    <d v="2024-05-12T00:00:00"/>
    <n v="659.5"/>
  </r>
  <r>
    <x v="375"/>
    <x v="37"/>
    <d v="2023-10-19T00:00:00"/>
    <x v="3"/>
    <x v="0"/>
    <s v="65.678.901/0001-67"/>
    <x v="0"/>
    <s v="MATERIAL E"/>
    <n v="5176"/>
    <x v="2"/>
    <d v="2023-10-20T00:00:00"/>
    <n v="2588"/>
    <d v="2023-11-18T00:00:00"/>
    <n v="2588"/>
    <m/>
    <m/>
    <m/>
    <m/>
  </r>
  <r>
    <x v="376"/>
    <x v="40"/>
    <d v="2023-08-07T00:00:00"/>
    <x v="7"/>
    <x v="0"/>
    <s v="12.345.678/0001-56"/>
    <x v="2"/>
    <s v="EXTRAVIADO"/>
    <n v="7900"/>
    <x v="1"/>
    <d v="2023-08-08T00:00:00"/>
    <n v="7900"/>
    <m/>
    <m/>
    <m/>
    <m/>
    <m/>
    <m/>
  </r>
  <r>
    <x v="377"/>
    <x v="42"/>
    <d v="2023-08-21T00:00:00"/>
    <x v="7"/>
    <x v="0"/>
    <s v="31.234.567/0001-89"/>
    <x v="0"/>
    <s v="MATERIAL A"/>
    <n v="7627"/>
    <x v="0"/>
    <d v="2023-08-22T00:00:00"/>
    <n v="2542.3333333333335"/>
    <d v="2023-09-20T00:00:00"/>
    <n v="2542.3333333333335"/>
    <d v="2023-10-05T00:00:00"/>
    <n v="2542.3333333333335"/>
    <m/>
    <m/>
  </r>
  <r>
    <x v="378"/>
    <x v="0"/>
    <d v="2023-12-23T00:00:00"/>
    <x v="9"/>
    <x v="0"/>
    <s v="96.789.012/0001-34"/>
    <x v="2"/>
    <s v="EXTRAVIADO"/>
    <n v="1758"/>
    <x v="1"/>
    <d v="2023-12-24T00:00:00"/>
    <n v="1758"/>
    <m/>
    <m/>
    <m/>
    <m/>
    <m/>
    <m/>
  </r>
  <r>
    <x v="379"/>
    <x v="16"/>
    <d v="2024-01-06T00:00:00"/>
    <x v="0"/>
    <x v="1"/>
    <s v="97.890.123/0001-01"/>
    <x v="2"/>
    <s v="ENVIO INCORRETO"/>
    <n v="5753"/>
    <x v="1"/>
    <d v="2024-01-07T00:00:00"/>
    <n v="5753"/>
    <m/>
    <m/>
    <m/>
    <m/>
    <m/>
    <m/>
  </r>
  <r>
    <x v="380"/>
    <x v="26"/>
    <d v="2024-04-16T00:00:00"/>
    <x v="11"/>
    <x v="1"/>
    <s v="41.234.567/0001-89"/>
    <x v="0"/>
    <s v="MATERIAL B"/>
    <n v="7056"/>
    <x v="0"/>
    <d v="2024-04-17T00:00:00"/>
    <n v="2352"/>
    <d v="2024-05-16T00:00:00"/>
    <n v="2352"/>
    <d v="2024-05-31T00:00:00"/>
    <n v="2352"/>
    <m/>
    <m/>
  </r>
  <r>
    <x v="381"/>
    <x v="9"/>
    <d v="2024-09-16T00:00:00"/>
    <x v="5"/>
    <x v="1"/>
    <s v="54.567.890/0001-90"/>
    <x v="2"/>
    <s v="EXTRAVIADO"/>
    <n v="2451"/>
    <x v="1"/>
    <d v="2024-09-17T00:00:00"/>
    <n v="2451"/>
    <m/>
    <m/>
    <m/>
    <m/>
    <m/>
    <m/>
  </r>
  <r>
    <x v="382"/>
    <x v="21"/>
    <d v="2023-12-16T00:00:00"/>
    <x v="9"/>
    <x v="0"/>
    <s v="20.123.456/0001-12"/>
    <x v="0"/>
    <s v="MATERIAL B"/>
    <n v="4909"/>
    <x v="3"/>
    <d v="2023-12-17T00:00:00"/>
    <n v="1227.25"/>
    <d v="2024-01-15T00:00:00"/>
    <n v="1227.25"/>
    <d v="2024-01-30T00:00:00"/>
    <n v="1227.25"/>
    <d v="2024-02-14T00:00:00"/>
    <n v="1227.25"/>
  </r>
  <r>
    <x v="383"/>
    <x v="28"/>
    <d v="2024-01-09T00:00:00"/>
    <x v="0"/>
    <x v="1"/>
    <s v="98.901.234/0001-78"/>
    <x v="1"/>
    <s v="Impostos"/>
    <n v="443"/>
    <x v="0"/>
    <d v="2024-01-10T00:00:00"/>
    <n v="147.66666666666666"/>
    <d v="2024-02-08T00:00:00"/>
    <n v="147.66666666666666"/>
    <d v="2024-02-23T00:00:00"/>
    <n v="147.66666666666666"/>
    <m/>
    <m/>
  </r>
  <r>
    <x v="384"/>
    <x v="29"/>
    <d v="2024-03-19T00:00:00"/>
    <x v="8"/>
    <x v="1"/>
    <s v="76.789.012/0001-34"/>
    <x v="2"/>
    <s v="ENVIO INCORRETO"/>
    <n v="3426"/>
    <x v="1"/>
    <d v="2024-03-20T00:00:00"/>
    <n v="3426"/>
    <m/>
    <m/>
    <m/>
    <m/>
    <m/>
    <m/>
  </r>
  <r>
    <x v="385"/>
    <x v="35"/>
    <d v="2023-10-04T00:00:00"/>
    <x v="3"/>
    <x v="0"/>
    <s v="21.234.567/0001-89"/>
    <x v="1"/>
    <s v="Consultoria"/>
    <n v="6332"/>
    <x v="2"/>
    <d v="2023-10-05T00:00:00"/>
    <n v="3166"/>
    <d v="2023-11-03T00:00:00"/>
    <n v="3166"/>
    <m/>
    <m/>
    <m/>
    <m/>
  </r>
  <r>
    <x v="386"/>
    <x v="8"/>
    <d v="2023-07-17T00:00:00"/>
    <x v="6"/>
    <x v="0"/>
    <s v="67.890.123/0001-01"/>
    <x v="0"/>
    <s v="MATERIAL D"/>
    <n v="3681"/>
    <x v="1"/>
    <d v="2023-07-18T00:00:00"/>
    <n v="3681"/>
    <m/>
    <m/>
    <m/>
    <m/>
    <m/>
    <m/>
  </r>
  <r>
    <x v="387"/>
    <x v="41"/>
    <d v="2024-01-12T00:00:00"/>
    <x v="0"/>
    <x v="1"/>
    <s v="18.901.234/0001-78"/>
    <x v="0"/>
    <s v="MATERIAL D"/>
    <n v="5515"/>
    <x v="3"/>
    <d v="2024-01-13T00:00:00"/>
    <n v="1378.75"/>
    <d v="2024-02-11T00:00:00"/>
    <n v="1378.75"/>
    <d v="2024-02-26T00:00:00"/>
    <n v="1378.75"/>
    <d v="2024-03-12T00:00:00"/>
    <n v="1378.75"/>
  </r>
  <r>
    <x v="388"/>
    <x v="3"/>
    <d v="2023-12-25T00:00:00"/>
    <x v="9"/>
    <x v="0"/>
    <s v="99.012.345/0001-45"/>
    <x v="0"/>
    <s v="MATERIAL B"/>
    <n v="2110"/>
    <x v="0"/>
    <d v="2023-12-26T00:00:00"/>
    <n v="703.33333333333337"/>
    <d v="2024-01-24T00:00:00"/>
    <n v="703.33333333333337"/>
    <d v="2024-02-08T00:00:00"/>
    <n v="703.33333333333337"/>
    <m/>
    <m/>
  </r>
  <r>
    <x v="389"/>
    <x v="24"/>
    <d v="2024-03-18T00:00:00"/>
    <x v="8"/>
    <x v="1"/>
    <s v="77.890.123/0001-01"/>
    <x v="1"/>
    <s v="Impostos"/>
    <n v="3168"/>
    <x v="0"/>
    <d v="2024-03-19T00:00:00"/>
    <n v="1056"/>
    <d v="2024-04-17T00:00:00"/>
    <n v="1056"/>
    <d v="2024-05-02T00:00:00"/>
    <n v="1056"/>
    <m/>
    <m/>
  </r>
  <r>
    <x v="390"/>
    <x v="8"/>
    <d v="2024-01-29T00:00:00"/>
    <x v="0"/>
    <x v="1"/>
    <s v="67.890.123/0001-01"/>
    <x v="0"/>
    <s v="MATERIAL D"/>
    <n v="2393"/>
    <x v="2"/>
    <d v="2024-01-30T00:00:00"/>
    <n v="1196.5"/>
    <d v="2024-02-28T00:00:00"/>
    <n v="1196.5"/>
    <m/>
    <m/>
    <m/>
    <m/>
  </r>
  <r>
    <x v="391"/>
    <x v="35"/>
    <d v="2023-09-28T00:00:00"/>
    <x v="5"/>
    <x v="0"/>
    <s v="21.234.567/0001-89"/>
    <x v="1"/>
    <s v="Consultoria"/>
    <n v="7652"/>
    <x v="0"/>
    <d v="2023-09-29T00:00:00"/>
    <n v="2550.6666666666665"/>
    <d v="2023-10-28T00:00:00"/>
    <n v="2550.6666666666665"/>
    <d v="2023-11-12T00:00:00"/>
    <n v="2550.6666666666665"/>
    <m/>
    <m/>
  </r>
  <r>
    <x v="392"/>
    <x v="7"/>
    <d v="2023-09-30T00:00:00"/>
    <x v="5"/>
    <x v="0"/>
    <s v="08.901.234/0001-78"/>
    <x v="1"/>
    <s v="Factoring Fee"/>
    <n v="4050"/>
    <x v="3"/>
    <d v="2023-10-01T00:00:00"/>
    <n v="1012.5"/>
    <d v="2023-10-30T00:00:00"/>
    <n v="1012.5"/>
    <d v="2023-11-14T00:00:00"/>
    <n v="1012.5"/>
    <d v="2023-11-29T00:00:00"/>
    <n v="1012.5"/>
  </r>
  <r>
    <x v="393"/>
    <x v="30"/>
    <d v="2023-12-29T00:00:00"/>
    <x v="9"/>
    <x v="0"/>
    <s v="01.234.567/0001-89"/>
    <x v="1"/>
    <s v="Pagamentos ADMs"/>
    <n v="2336"/>
    <x v="3"/>
    <d v="2023-12-30T00:00:00"/>
    <n v="584"/>
    <d v="2024-01-28T00:00:00"/>
    <n v="584"/>
    <d v="2024-02-12T00:00:00"/>
    <n v="584"/>
    <d v="2024-02-27T00:00:00"/>
    <n v="584"/>
  </r>
  <r>
    <x v="394"/>
    <x v="24"/>
    <d v="2024-01-06T00:00:00"/>
    <x v="0"/>
    <x v="1"/>
    <s v="77.890.123/0001-01"/>
    <x v="1"/>
    <s v="Impostos"/>
    <n v="3078"/>
    <x v="2"/>
    <d v="2024-01-07T00:00:00"/>
    <n v="1539"/>
    <d v="2024-02-05T00:00:00"/>
    <n v="1539"/>
    <m/>
    <m/>
    <m/>
    <m/>
  </r>
  <r>
    <x v="395"/>
    <x v="28"/>
    <d v="2024-04-09T00:00:00"/>
    <x v="11"/>
    <x v="1"/>
    <s v="98.901.234/0001-78"/>
    <x v="1"/>
    <s v="Impostos"/>
    <n v="1063"/>
    <x v="2"/>
    <d v="2024-04-10T00:00:00"/>
    <n v="531.5"/>
    <d v="2024-05-09T00:00:00"/>
    <n v="531.5"/>
    <m/>
    <m/>
    <m/>
    <m/>
  </r>
  <r>
    <x v="396"/>
    <x v="40"/>
    <d v="2023-12-24T00:00:00"/>
    <x v="9"/>
    <x v="0"/>
    <s v="12.345.678/0001-56"/>
    <x v="2"/>
    <s v="EXTRAVIADO"/>
    <n v="5061"/>
    <x v="1"/>
    <d v="2023-12-25T00:00:00"/>
    <n v="5061"/>
    <m/>
    <m/>
    <m/>
    <m/>
    <m/>
    <m/>
  </r>
  <r>
    <x v="397"/>
    <x v="41"/>
    <d v="2024-02-26T00:00:00"/>
    <x v="4"/>
    <x v="1"/>
    <s v="18.901.234/0001-78"/>
    <x v="0"/>
    <s v="MATERIAL D"/>
    <n v="4323"/>
    <x v="0"/>
    <d v="2024-02-27T00:00:00"/>
    <n v="1441"/>
    <d v="2024-03-27T00:00:00"/>
    <n v="1441"/>
    <d v="2024-04-11T00:00:00"/>
    <n v="1441"/>
    <m/>
    <m/>
  </r>
  <r>
    <x v="398"/>
    <x v="34"/>
    <d v="2023-09-01T00:00:00"/>
    <x v="5"/>
    <x v="0"/>
    <s v="42.345.678/0001-56"/>
    <x v="1"/>
    <s v="Consultoria"/>
    <n v="5282"/>
    <x v="0"/>
    <d v="2023-09-02T00:00:00"/>
    <n v="1760.6666666666667"/>
    <d v="2023-10-01T00:00:00"/>
    <n v="1760.6666666666667"/>
    <d v="2023-10-16T00:00:00"/>
    <n v="1760.6666666666667"/>
    <m/>
    <m/>
  </r>
  <r>
    <x v="399"/>
    <x v="8"/>
    <d v="2023-08-23T00:00:00"/>
    <x v="7"/>
    <x v="0"/>
    <s v="67.890.123/0001-01"/>
    <x v="0"/>
    <s v="MATERIAL D"/>
    <n v="2837"/>
    <x v="1"/>
    <d v="2023-08-24T00:00:00"/>
    <n v="2837"/>
    <m/>
    <m/>
    <m/>
    <m/>
    <m/>
    <m/>
  </r>
  <r>
    <x v="400"/>
    <x v="29"/>
    <d v="2024-02-10T00:00:00"/>
    <x v="4"/>
    <x v="1"/>
    <s v="76.789.012/0001-34"/>
    <x v="2"/>
    <s v="ENVIO INCORRETO"/>
    <n v="7874"/>
    <x v="1"/>
    <d v="2024-02-11T00:00:00"/>
    <n v="7874"/>
    <m/>
    <m/>
    <m/>
    <m/>
    <m/>
    <m/>
  </r>
  <r>
    <x v="401"/>
    <x v="9"/>
    <d v="2023-07-05T00:00:00"/>
    <x v="6"/>
    <x v="0"/>
    <s v="54.567.890/0001-90"/>
    <x v="2"/>
    <s v="EXTRAVIADO"/>
    <n v="8182"/>
    <x v="1"/>
    <d v="2023-07-06T00:00:00"/>
    <n v="8182"/>
    <m/>
    <m/>
    <m/>
    <m/>
    <m/>
    <m/>
  </r>
  <r>
    <x v="402"/>
    <x v="43"/>
    <d v="2023-08-03T00:00:00"/>
    <x v="7"/>
    <x v="0"/>
    <s v="64.567.890/0001-90"/>
    <x v="1"/>
    <s v="Pagamentos ADMs"/>
    <n v="3563"/>
    <x v="3"/>
    <d v="2023-08-04T00:00:00"/>
    <n v="890.75"/>
    <d v="2023-09-02T00:00:00"/>
    <n v="890.75"/>
    <d v="2023-09-17T00:00:00"/>
    <n v="890.75"/>
    <d v="2023-10-02T00:00:00"/>
    <n v="890.75"/>
  </r>
  <r>
    <x v="403"/>
    <x v="29"/>
    <d v="2024-02-20T00:00:00"/>
    <x v="4"/>
    <x v="1"/>
    <s v="76.789.012/0001-34"/>
    <x v="2"/>
    <s v="ENVIO INCORRETO"/>
    <n v="2295"/>
    <x v="1"/>
    <d v="2024-02-21T00:00:00"/>
    <n v="2295"/>
    <m/>
    <m/>
    <m/>
    <m/>
    <m/>
    <m/>
  </r>
  <r>
    <x v="404"/>
    <x v="23"/>
    <d v="2023-09-15T00:00:00"/>
    <x v="5"/>
    <x v="0"/>
    <s v="55.678.901/0001-67"/>
    <x v="2"/>
    <s v="ENVIO INCORRETO"/>
    <n v="5621"/>
    <x v="1"/>
    <d v="2023-09-16T00:00:00"/>
    <n v="5621"/>
    <m/>
    <m/>
    <m/>
    <m/>
    <m/>
    <m/>
  </r>
  <r>
    <x v="405"/>
    <x v="26"/>
    <d v="2024-02-12T00:00:00"/>
    <x v="4"/>
    <x v="1"/>
    <s v="41.234.567/0001-89"/>
    <x v="0"/>
    <s v="MATERIAL B"/>
    <n v="5611"/>
    <x v="1"/>
    <d v="2024-02-13T00:00:00"/>
    <n v="5611"/>
    <m/>
    <m/>
    <m/>
    <m/>
    <m/>
    <m/>
  </r>
  <r>
    <x v="406"/>
    <x v="34"/>
    <d v="2024-06-28T00:00:00"/>
    <x v="2"/>
    <x v="1"/>
    <s v="42.345.678/0001-56"/>
    <x v="1"/>
    <s v="Consultoria"/>
    <n v="9978"/>
    <x v="2"/>
    <d v="2024-06-29T00:00:00"/>
    <n v="4989"/>
    <d v="2024-07-28T00:00:00"/>
    <n v="4989"/>
    <m/>
    <m/>
    <m/>
    <m/>
  </r>
  <r>
    <x v="407"/>
    <x v="3"/>
    <d v="2023-11-06T00:00:00"/>
    <x v="10"/>
    <x v="0"/>
    <s v="99.012.345/0001-45"/>
    <x v="0"/>
    <s v="MATERIAL B"/>
    <n v="8750"/>
    <x v="2"/>
    <d v="2023-11-07T00:00:00"/>
    <n v="4375"/>
    <d v="2023-12-06T00:00:00"/>
    <n v="4375"/>
    <m/>
    <m/>
    <m/>
    <m/>
  </r>
  <r>
    <x v="408"/>
    <x v="18"/>
    <d v="2023-06-30T00:00:00"/>
    <x v="2"/>
    <x v="0"/>
    <s v="30.123.456/0001-12"/>
    <x v="0"/>
    <s v="MATERIAL D"/>
    <n v="8236"/>
    <x v="3"/>
    <d v="2023-07-01T00:00:00"/>
    <n v="2059"/>
    <d v="2023-07-30T00:00:00"/>
    <n v="2059"/>
    <d v="2023-08-14T00:00:00"/>
    <n v="2059"/>
    <d v="2023-08-29T00:00:00"/>
    <n v="2059"/>
  </r>
  <r>
    <x v="409"/>
    <x v="22"/>
    <d v="2024-01-16T00:00:00"/>
    <x v="0"/>
    <x v="1"/>
    <s v="75.678.901/0001-67"/>
    <x v="2"/>
    <s v="EXTRAVIADO"/>
    <n v="1065"/>
    <x v="1"/>
    <d v="2024-01-17T00:00:00"/>
    <n v="1065"/>
    <m/>
    <m/>
    <m/>
    <m/>
    <m/>
    <m/>
  </r>
  <r>
    <x v="410"/>
    <x v="40"/>
    <d v="2024-03-20T00:00:00"/>
    <x v="8"/>
    <x v="1"/>
    <s v="12.345.678/0001-56"/>
    <x v="2"/>
    <s v="EXTRAVIADO"/>
    <n v="486"/>
    <x v="1"/>
    <d v="2024-03-21T00:00:00"/>
    <n v="486"/>
    <m/>
    <m/>
    <m/>
    <m/>
    <m/>
    <m/>
  </r>
  <r>
    <x v="411"/>
    <x v="7"/>
    <d v="2023-12-11T00:00:00"/>
    <x v="9"/>
    <x v="0"/>
    <s v="08.901.234/0001-78"/>
    <x v="1"/>
    <s v="Factoring Fee"/>
    <n v="8422"/>
    <x v="2"/>
    <d v="2023-12-12T00:00:00"/>
    <n v="4211"/>
    <d v="2024-01-10T00:00:00"/>
    <n v="4211"/>
    <m/>
    <m/>
    <m/>
    <m/>
  </r>
  <r>
    <x v="412"/>
    <x v="29"/>
    <d v="2024-05-02T00:00:00"/>
    <x v="1"/>
    <x v="1"/>
    <s v="76.789.012/0001-34"/>
    <x v="2"/>
    <s v="ENVIO INCORRETO"/>
    <n v="5339"/>
    <x v="1"/>
    <d v="2024-05-03T00:00:00"/>
    <n v="5339"/>
    <m/>
    <m/>
    <m/>
    <m/>
    <m/>
    <m/>
  </r>
  <r>
    <x v="413"/>
    <x v="15"/>
    <d v="2024-05-09T00:00:00"/>
    <x v="1"/>
    <x v="1"/>
    <s v="86.789.012/0001-34"/>
    <x v="0"/>
    <s v="MATERIAL E"/>
    <n v="1109"/>
    <x v="1"/>
    <d v="2024-05-10T00:00:00"/>
    <n v="1109"/>
    <m/>
    <m/>
    <m/>
    <m/>
    <m/>
    <m/>
  </r>
  <r>
    <x v="414"/>
    <x v="48"/>
    <d v="2023-06-10T00:00:00"/>
    <x v="2"/>
    <x v="0"/>
    <s v="56.789.012/0001-34"/>
    <x v="1"/>
    <s v="Impostos"/>
    <n v="9579"/>
    <x v="2"/>
    <d v="2023-06-11T00:00:00"/>
    <n v="4789.5"/>
    <d v="2023-07-10T00:00:00"/>
    <n v="4789.5"/>
    <m/>
    <m/>
    <m/>
    <m/>
  </r>
  <r>
    <x v="415"/>
    <x v="34"/>
    <d v="2023-11-09T00:00:00"/>
    <x v="10"/>
    <x v="0"/>
    <s v="42.345.678/0001-56"/>
    <x v="1"/>
    <s v="Consultoria"/>
    <n v="7776"/>
    <x v="3"/>
    <d v="2023-11-10T00:00:00"/>
    <n v="1944"/>
    <d v="2023-12-09T00:00:00"/>
    <n v="1944"/>
    <d v="2023-12-24T00:00:00"/>
    <n v="1944"/>
    <d v="2024-01-08T00:00:00"/>
    <n v="1944"/>
  </r>
  <r>
    <x v="416"/>
    <x v="36"/>
    <d v="2023-12-16T00:00:00"/>
    <x v="9"/>
    <x v="0"/>
    <s v="29.012.345/0001-45"/>
    <x v="0"/>
    <s v="MATERIAL B"/>
    <n v="2584"/>
    <x v="3"/>
    <d v="2023-12-17T00:00:00"/>
    <n v="646"/>
    <d v="2024-01-15T00:00:00"/>
    <n v="646"/>
    <d v="2024-01-30T00:00:00"/>
    <n v="646"/>
    <d v="2024-02-14T00:00:00"/>
    <n v="646"/>
  </r>
  <r>
    <x v="417"/>
    <x v="21"/>
    <d v="2024-04-06T00:00:00"/>
    <x v="11"/>
    <x v="1"/>
    <s v="20.123.456/0001-12"/>
    <x v="0"/>
    <s v="MATERIAL B"/>
    <n v="6415"/>
    <x v="3"/>
    <d v="2024-04-07T00:00:00"/>
    <n v="1603.75"/>
    <d v="2024-05-06T00:00:00"/>
    <n v="1603.75"/>
    <d v="2024-05-21T00:00:00"/>
    <n v="1603.75"/>
    <d v="2024-06-05T00:00:00"/>
    <n v="1603.75"/>
  </r>
  <r>
    <x v="418"/>
    <x v="45"/>
    <d v="2023-10-14T00:00:00"/>
    <x v="3"/>
    <x v="0"/>
    <s v="19.012.345/0001-45"/>
    <x v="1"/>
    <s v="Impostos"/>
    <n v="1976"/>
    <x v="3"/>
    <d v="2023-10-15T00:00:00"/>
    <n v="494"/>
    <d v="2023-11-13T00:00:00"/>
    <n v="494"/>
    <d v="2023-11-28T00:00:00"/>
    <n v="494"/>
    <d v="2023-12-13T00:00:00"/>
    <n v="494"/>
  </r>
  <r>
    <x v="419"/>
    <x v="12"/>
    <d v="2023-11-05T00:00:00"/>
    <x v="10"/>
    <x v="0"/>
    <s v="52.345.678/0001-56"/>
    <x v="0"/>
    <s v="MATERIAL A"/>
    <n v="690"/>
    <x v="1"/>
    <d v="2023-11-06T00:00:00"/>
    <n v="690"/>
    <m/>
    <m/>
    <m/>
    <m/>
    <m/>
    <m/>
  </r>
  <r>
    <x v="420"/>
    <x v="12"/>
    <d v="2024-08-08T00:00:00"/>
    <x v="7"/>
    <x v="1"/>
    <s v="52.345.678/0001-56"/>
    <x v="0"/>
    <s v="MATERIAL A"/>
    <n v="4101"/>
    <x v="1"/>
    <d v="2024-08-09T00:00:00"/>
    <n v="4101"/>
    <m/>
    <m/>
    <m/>
    <m/>
    <m/>
    <m/>
  </r>
  <r>
    <x v="421"/>
    <x v="42"/>
    <d v="2024-03-29T00:00:00"/>
    <x v="8"/>
    <x v="1"/>
    <s v="31.234.567/0001-89"/>
    <x v="0"/>
    <s v="MATERIAL A"/>
    <n v="4789"/>
    <x v="2"/>
    <d v="2024-03-30T00:00:00"/>
    <n v="2394.5"/>
    <d v="2024-04-28T00:00:00"/>
    <n v="2394.5"/>
    <m/>
    <m/>
    <m/>
    <m/>
  </r>
  <r>
    <x v="422"/>
    <x v="42"/>
    <d v="2023-12-25T00:00:00"/>
    <x v="9"/>
    <x v="0"/>
    <s v="31.234.567/0001-89"/>
    <x v="0"/>
    <s v="MATERIAL A"/>
    <n v="6021"/>
    <x v="3"/>
    <d v="2023-12-26T00:00:00"/>
    <n v="1505.25"/>
    <d v="2024-01-24T00:00:00"/>
    <n v="1505.25"/>
    <d v="2024-02-08T00:00:00"/>
    <n v="1505.25"/>
    <d v="2024-02-23T00:00:00"/>
    <n v="1505.25"/>
  </r>
  <r>
    <x v="423"/>
    <x v="48"/>
    <d v="2023-12-09T00:00:00"/>
    <x v="9"/>
    <x v="0"/>
    <s v="56.789.012/0001-34"/>
    <x v="1"/>
    <s v="Impostos"/>
    <n v="1410"/>
    <x v="2"/>
    <d v="2023-12-10T00:00:00"/>
    <n v="705"/>
    <d v="2024-01-08T00:00:00"/>
    <n v="705"/>
    <m/>
    <m/>
    <m/>
    <m/>
  </r>
  <r>
    <x v="424"/>
    <x v="48"/>
    <d v="2023-09-08T00:00:00"/>
    <x v="5"/>
    <x v="0"/>
    <s v="56.789.012/0001-34"/>
    <x v="1"/>
    <s v="Impostos"/>
    <n v="818"/>
    <x v="0"/>
    <d v="2023-09-09T00:00:00"/>
    <n v="272.66666666666669"/>
    <d v="2023-10-08T00:00:00"/>
    <n v="272.66666666666669"/>
    <d v="2023-10-23T00:00:00"/>
    <n v="272.66666666666669"/>
    <m/>
    <m/>
  </r>
  <r>
    <x v="425"/>
    <x v="36"/>
    <d v="2023-09-20T00:00:00"/>
    <x v="5"/>
    <x v="0"/>
    <s v="29.012.345/0001-45"/>
    <x v="0"/>
    <s v="MATERIAL B"/>
    <n v="1355"/>
    <x v="0"/>
    <d v="2023-09-21T00:00:00"/>
    <n v="451.66666666666669"/>
    <d v="2023-10-20T00:00:00"/>
    <n v="451.66666666666669"/>
    <d v="2023-11-04T00:00:00"/>
    <n v="451.66666666666669"/>
    <m/>
    <m/>
  </r>
  <r>
    <x v="426"/>
    <x v="14"/>
    <d v="2023-05-30T00:00:00"/>
    <x v="1"/>
    <x v="0"/>
    <s v="10.123.456/0001-12"/>
    <x v="0"/>
    <s v="MATERIAL A"/>
    <n v="2689"/>
    <x v="1"/>
    <d v="2023-05-31T00:00:00"/>
    <n v="2689"/>
    <m/>
    <m/>
    <m/>
    <m/>
    <m/>
    <m/>
  </r>
  <r>
    <x v="427"/>
    <x v="18"/>
    <d v="2023-11-25T00:00:00"/>
    <x v="10"/>
    <x v="0"/>
    <s v="30.123.456/0001-12"/>
    <x v="0"/>
    <s v="MATERIAL D"/>
    <n v="3042"/>
    <x v="3"/>
    <d v="2023-11-26T00:00:00"/>
    <n v="760.5"/>
    <d v="2023-12-25T00:00:00"/>
    <n v="760.5"/>
    <d v="2024-01-09T00:00:00"/>
    <n v="760.5"/>
    <d v="2024-01-24T00:00:00"/>
    <n v="760.5"/>
  </r>
  <r>
    <x v="428"/>
    <x v="1"/>
    <d v="2023-12-11T00:00:00"/>
    <x v="9"/>
    <x v="0"/>
    <s v="45.678.901/0001-67"/>
    <x v="1"/>
    <s v="Factoring Fee"/>
    <n v="4050"/>
    <x v="1"/>
    <d v="2023-12-12T00:00:00"/>
    <n v="4050"/>
    <m/>
    <m/>
    <m/>
    <m/>
    <m/>
    <m/>
  </r>
  <r>
    <x v="429"/>
    <x v="32"/>
    <d v="2023-12-20T00:00:00"/>
    <x v="9"/>
    <x v="0"/>
    <s v="23.456.789/0001-23"/>
    <x v="0"/>
    <s v="MATERIAL E"/>
    <n v="3048"/>
    <x v="3"/>
    <d v="2023-12-21T00:00:00"/>
    <n v="762"/>
    <d v="2024-01-19T00:00:00"/>
    <n v="762"/>
    <d v="2024-02-03T00:00:00"/>
    <n v="762"/>
    <d v="2024-02-18T00:00:00"/>
    <n v="762"/>
  </r>
  <r>
    <x v="430"/>
    <x v="30"/>
    <d v="2024-01-15T00:00:00"/>
    <x v="0"/>
    <x v="1"/>
    <s v="01.234.567/0001-89"/>
    <x v="1"/>
    <s v="Pagamentos ADMs"/>
    <n v="3601"/>
    <x v="1"/>
    <d v="2024-01-16T00:00:00"/>
    <n v="3601"/>
    <m/>
    <m/>
    <m/>
    <m/>
    <m/>
    <m/>
  </r>
  <r>
    <x v="431"/>
    <x v="45"/>
    <d v="2023-09-09T00:00:00"/>
    <x v="5"/>
    <x v="0"/>
    <s v="19.012.345/0001-45"/>
    <x v="1"/>
    <s v="Impostos"/>
    <n v="2213"/>
    <x v="3"/>
    <d v="2023-09-10T00:00:00"/>
    <n v="553.25"/>
    <d v="2023-10-09T00:00:00"/>
    <n v="553.25"/>
    <d v="2023-10-24T00:00:00"/>
    <n v="553.25"/>
    <d v="2023-11-08T00:00:00"/>
    <n v="553.25"/>
  </r>
  <r>
    <x v="432"/>
    <x v="31"/>
    <d v="2023-10-05T00:00:00"/>
    <x v="3"/>
    <x v="0"/>
    <s v="33.456.789/0001-23"/>
    <x v="2"/>
    <s v="EXTRAVIADO"/>
    <n v="8007"/>
    <x v="1"/>
    <d v="2023-10-06T00:00:00"/>
    <n v="8007"/>
    <m/>
    <m/>
    <m/>
    <m/>
    <m/>
    <m/>
  </r>
  <r>
    <x v="433"/>
    <x v="18"/>
    <d v="2024-05-30T00:00:00"/>
    <x v="1"/>
    <x v="1"/>
    <s v="30.123.456/0001-12"/>
    <x v="0"/>
    <s v="MATERIAL D"/>
    <n v="8142"/>
    <x v="0"/>
    <d v="2024-05-31T00:00:00"/>
    <n v="2714"/>
    <d v="2024-06-29T00:00:00"/>
    <n v="2714"/>
    <d v="2024-07-14T00:00:00"/>
    <n v="2714"/>
    <m/>
    <m/>
  </r>
  <r>
    <x v="434"/>
    <x v="11"/>
    <d v="2023-11-28T00:00:00"/>
    <x v="10"/>
    <x v="0"/>
    <s v="22.345.678/0001-56"/>
    <x v="1"/>
    <s v="Pagamentos ADMs"/>
    <n v="6611"/>
    <x v="0"/>
    <d v="2023-11-29T00:00:00"/>
    <n v="2203.6666666666665"/>
    <d v="2023-12-28T00:00:00"/>
    <n v="2203.6666666666665"/>
    <d v="2024-01-12T00:00:00"/>
    <n v="2203.6666666666665"/>
    <m/>
    <m/>
  </r>
  <r>
    <x v="435"/>
    <x v="7"/>
    <d v="2023-08-21T00:00:00"/>
    <x v="7"/>
    <x v="0"/>
    <s v="08.901.234/0001-78"/>
    <x v="1"/>
    <s v="Factoring Fee"/>
    <n v="4532"/>
    <x v="0"/>
    <d v="2023-08-22T00:00:00"/>
    <n v="1510.6666666666667"/>
    <d v="2023-09-20T00:00:00"/>
    <n v="1510.6666666666667"/>
    <d v="2023-10-05T00:00:00"/>
    <n v="1510.6666666666667"/>
    <m/>
    <m/>
  </r>
  <r>
    <x v="436"/>
    <x v="47"/>
    <d v="2024-01-25T00:00:00"/>
    <x v="0"/>
    <x v="1"/>
    <s v="07.890.123/0001-01"/>
    <x v="0"/>
    <s v="MATERIAL E"/>
    <n v="4881"/>
    <x v="0"/>
    <d v="2024-01-26T00:00:00"/>
    <n v="1627"/>
    <d v="2024-02-24T00:00:00"/>
    <n v="1627"/>
    <d v="2024-03-10T00:00:00"/>
    <n v="1627"/>
    <m/>
    <m/>
  </r>
  <r>
    <x v="437"/>
    <x v="20"/>
    <d v="2024-07-11T00:00:00"/>
    <x v="6"/>
    <x v="1"/>
    <s v="85.678.901/0001-67"/>
    <x v="1"/>
    <s v="Pagamentos ADMs"/>
    <n v="708"/>
    <x v="2"/>
    <d v="2024-07-12T00:00:00"/>
    <n v="354"/>
    <d v="2024-08-10T00:00:00"/>
    <n v="354"/>
    <m/>
    <m/>
    <m/>
    <m/>
  </r>
  <r>
    <x v="438"/>
    <x v="35"/>
    <d v="2024-03-24T00:00:00"/>
    <x v="8"/>
    <x v="1"/>
    <s v="21.234.567/0001-89"/>
    <x v="1"/>
    <s v="Consultoria"/>
    <n v="2981"/>
    <x v="3"/>
    <d v="2024-03-25T00:00:00"/>
    <n v="745.25"/>
    <d v="2024-04-23T00:00:00"/>
    <n v="745.25"/>
    <d v="2024-05-08T00:00:00"/>
    <n v="745.25"/>
    <d v="2024-05-23T00:00:00"/>
    <n v="745.25"/>
  </r>
  <r>
    <x v="439"/>
    <x v="21"/>
    <d v="2023-10-12T00:00:00"/>
    <x v="3"/>
    <x v="0"/>
    <s v="20.123.456/0001-12"/>
    <x v="0"/>
    <s v="MATERIAL B"/>
    <n v="5334"/>
    <x v="1"/>
    <d v="2023-10-13T00:00:00"/>
    <n v="5334"/>
    <m/>
    <m/>
    <m/>
    <m/>
    <m/>
    <m/>
  </r>
  <r>
    <x v="440"/>
    <x v="23"/>
    <d v="2024-01-18T00:00:00"/>
    <x v="0"/>
    <x v="1"/>
    <s v="55.678.901/0001-67"/>
    <x v="2"/>
    <s v="ENVIO INCORRETO"/>
    <n v="3281"/>
    <x v="1"/>
    <d v="2024-01-19T00:00:00"/>
    <n v="3281"/>
    <m/>
    <m/>
    <m/>
    <m/>
    <m/>
    <m/>
  </r>
  <r>
    <x v="441"/>
    <x v="36"/>
    <d v="2023-12-21T00:00:00"/>
    <x v="9"/>
    <x v="0"/>
    <s v="29.012.345/0001-45"/>
    <x v="0"/>
    <s v="MATERIAL B"/>
    <n v="7392"/>
    <x v="2"/>
    <d v="2023-12-22T00:00:00"/>
    <n v="3696"/>
    <d v="2024-01-20T00:00:00"/>
    <n v="3696"/>
    <m/>
    <m/>
    <m/>
    <m/>
  </r>
  <r>
    <x v="442"/>
    <x v="26"/>
    <d v="2024-04-26T00:00:00"/>
    <x v="11"/>
    <x v="1"/>
    <s v="41.234.567/0001-89"/>
    <x v="0"/>
    <s v="MATERIAL B"/>
    <n v="3364"/>
    <x v="3"/>
    <d v="2024-04-27T00:00:00"/>
    <n v="841"/>
    <d v="2024-05-26T00:00:00"/>
    <n v="841"/>
    <d v="2024-06-10T00:00:00"/>
    <n v="841"/>
    <d v="2024-06-25T00:00:00"/>
    <n v="841"/>
  </r>
  <r>
    <x v="443"/>
    <x v="39"/>
    <d v="2023-12-31T00:00:00"/>
    <x v="9"/>
    <x v="0"/>
    <s v="90.123.456/0001-12"/>
    <x v="1"/>
    <s v="Consultoria"/>
    <n v="870"/>
    <x v="1"/>
    <d v="2024-01-01T00:00:00"/>
    <n v="870"/>
    <m/>
    <m/>
    <m/>
    <m/>
    <m/>
    <m/>
  </r>
  <r>
    <x v="444"/>
    <x v="33"/>
    <d v="2024-07-04T00:00:00"/>
    <x v="6"/>
    <x v="1"/>
    <s v="87.890.123/0001-01"/>
    <x v="1"/>
    <s v="Factoring Fee"/>
    <n v="5221"/>
    <x v="1"/>
    <d v="2024-07-05T00:00:00"/>
    <n v="5221"/>
    <m/>
    <m/>
    <m/>
    <m/>
    <m/>
    <m/>
  </r>
  <r>
    <x v="445"/>
    <x v="30"/>
    <d v="2023-10-23T00:00:00"/>
    <x v="3"/>
    <x v="0"/>
    <s v="01.234.567/0001-89"/>
    <x v="1"/>
    <s v="Pagamentos ADMs"/>
    <n v="8538"/>
    <x v="1"/>
    <d v="2023-10-24T00:00:00"/>
    <n v="8538"/>
    <m/>
    <m/>
    <m/>
    <m/>
    <m/>
    <m/>
  </r>
  <r>
    <x v="446"/>
    <x v="40"/>
    <d v="2024-01-31T00:00:00"/>
    <x v="0"/>
    <x v="1"/>
    <s v="12.345.678/0001-56"/>
    <x v="2"/>
    <s v="EXTRAVIADO"/>
    <n v="1688"/>
    <x v="1"/>
    <d v="2024-02-01T00:00:00"/>
    <n v="1688"/>
    <m/>
    <m/>
    <m/>
    <m/>
    <m/>
    <m/>
  </r>
  <r>
    <x v="447"/>
    <x v="10"/>
    <d v="2023-06-02T00:00:00"/>
    <x v="2"/>
    <x v="0"/>
    <s v="53.456.789/0001-23"/>
    <x v="0"/>
    <s v="MATERIAL C"/>
    <n v="1112"/>
    <x v="0"/>
    <d v="2023-06-03T00:00:00"/>
    <n v="370.66666666666669"/>
    <d v="2023-07-02T00:00:00"/>
    <n v="370.66666666666669"/>
    <d v="2023-07-17T00:00:00"/>
    <n v="370.66666666666669"/>
    <m/>
    <m/>
  </r>
  <r>
    <x v="448"/>
    <x v="15"/>
    <d v="2024-01-13T00:00:00"/>
    <x v="0"/>
    <x v="1"/>
    <s v="86.789.012/0001-34"/>
    <x v="0"/>
    <s v="MATERIAL E"/>
    <n v="8387"/>
    <x v="1"/>
    <d v="2024-01-14T00:00:00"/>
    <n v="8387"/>
    <m/>
    <m/>
    <m/>
    <m/>
    <m/>
    <m/>
  </r>
  <r>
    <x v="449"/>
    <x v="21"/>
    <d v="2024-01-04T00:00:00"/>
    <x v="0"/>
    <x v="1"/>
    <s v="20.123.456/0001-12"/>
    <x v="0"/>
    <s v="MATERIAL B"/>
    <n v="1802"/>
    <x v="2"/>
    <d v="2024-01-05T00:00:00"/>
    <n v="901"/>
    <d v="2024-02-03T00:00:00"/>
    <n v="901"/>
    <m/>
    <m/>
    <m/>
    <m/>
  </r>
  <r>
    <x v="450"/>
    <x v="11"/>
    <d v="2023-09-18T00:00:00"/>
    <x v="5"/>
    <x v="0"/>
    <s v="22.345.678/0001-56"/>
    <x v="1"/>
    <s v="Pagamentos ADMs"/>
    <n v="5788"/>
    <x v="2"/>
    <d v="2023-09-19T00:00:00"/>
    <n v="2894"/>
    <d v="2023-10-18T00:00:00"/>
    <n v="2894"/>
    <m/>
    <m/>
    <m/>
    <m/>
  </r>
  <r>
    <x v="451"/>
    <x v="48"/>
    <d v="2023-11-24T00:00:00"/>
    <x v="10"/>
    <x v="0"/>
    <s v="56.789.012/0001-34"/>
    <x v="1"/>
    <s v="Impostos"/>
    <n v="5519"/>
    <x v="3"/>
    <d v="2023-11-25T00:00:00"/>
    <n v="1379.75"/>
    <d v="2023-12-24T00:00:00"/>
    <n v="1379.75"/>
    <d v="2024-01-08T00:00:00"/>
    <n v="1379.75"/>
    <d v="2024-01-23T00:00:00"/>
    <n v="1379.75"/>
  </r>
  <r>
    <x v="452"/>
    <x v="21"/>
    <d v="2023-03-21T00:00:00"/>
    <x v="8"/>
    <x v="0"/>
    <s v="20.123.456/0001-12"/>
    <x v="0"/>
    <s v="MATERIAL B"/>
    <n v="9182"/>
    <x v="1"/>
    <d v="2023-03-22T00:00:00"/>
    <n v="9182"/>
    <m/>
    <m/>
    <m/>
    <m/>
    <m/>
    <m/>
  </r>
  <r>
    <x v="453"/>
    <x v="39"/>
    <d v="2023-09-02T00:00:00"/>
    <x v="5"/>
    <x v="0"/>
    <s v="90.123.456/0001-12"/>
    <x v="1"/>
    <s v="Consultoria"/>
    <n v="3154"/>
    <x v="3"/>
    <d v="2023-09-03T00:00:00"/>
    <n v="788.5"/>
    <d v="2023-10-02T00:00:00"/>
    <n v="788.5"/>
    <d v="2023-10-17T00:00:00"/>
    <n v="788.5"/>
    <d v="2023-11-01T00:00:00"/>
    <n v="788.5"/>
  </r>
  <r>
    <x v="454"/>
    <x v="29"/>
    <d v="2024-05-25T00:00:00"/>
    <x v="1"/>
    <x v="1"/>
    <s v="76.789.012/0001-34"/>
    <x v="2"/>
    <s v="ENVIO INCORRETO"/>
    <n v="6164"/>
    <x v="1"/>
    <d v="2024-05-26T00:00:00"/>
    <n v="6164"/>
    <m/>
    <m/>
    <m/>
    <m/>
    <m/>
    <m/>
  </r>
  <r>
    <x v="455"/>
    <x v="8"/>
    <d v="2024-08-03T00:00:00"/>
    <x v="7"/>
    <x v="1"/>
    <s v="67.890.123/0001-01"/>
    <x v="0"/>
    <s v="MATERIAL D"/>
    <n v="3859"/>
    <x v="1"/>
    <d v="2024-08-04T00:00:00"/>
    <n v="3859"/>
    <m/>
    <m/>
    <m/>
    <m/>
    <m/>
    <m/>
  </r>
  <r>
    <x v="456"/>
    <x v="31"/>
    <d v="2024-04-28T00:00:00"/>
    <x v="11"/>
    <x v="1"/>
    <s v="33.456.789/0001-23"/>
    <x v="2"/>
    <s v="EXTRAVIADO"/>
    <n v="6257"/>
    <x v="1"/>
    <d v="2024-04-29T00:00:00"/>
    <n v="6257"/>
    <m/>
    <m/>
    <m/>
    <m/>
    <m/>
    <m/>
  </r>
  <r>
    <x v="457"/>
    <x v="16"/>
    <d v="2023-07-10T00:00:00"/>
    <x v="6"/>
    <x v="0"/>
    <s v="97.890.123/0001-01"/>
    <x v="2"/>
    <s v="ENVIO INCORRETO"/>
    <n v="4081"/>
    <x v="1"/>
    <d v="2023-07-11T00:00:00"/>
    <n v="4081"/>
    <m/>
    <m/>
    <m/>
    <m/>
    <m/>
    <m/>
  </r>
  <r>
    <x v="458"/>
    <x v="19"/>
    <d v="2024-02-24T00:00:00"/>
    <x v="4"/>
    <x v="1"/>
    <s v="43.456.789/0001-23"/>
    <x v="1"/>
    <s v="Pagamentos ADMs"/>
    <n v="8508"/>
    <x v="2"/>
    <d v="2024-02-25T00:00:00"/>
    <n v="4254"/>
    <d v="2024-03-25T00:00:00"/>
    <n v="4254"/>
    <m/>
    <m/>
    <m/>
    <m/>
  </r>
  <r>
    <x v="459"/>
    <x v="39"/>
    <d v="2024-01-20T00:00:00"/>
    <x v="0"/>
    <x v="1"/>
    <s v="90.123.456/0001-12"/>
    <x v="1"/>
    <s v="Consultoria"/>
    <n v="8975"/>
    <x v="2"/>
    <d v="2024-01-21T00:00:00"/>
    <n v="4487.5"/>
    <d v="2024-02-19T00:00:00"/>
    <n v="4487.5"/>
    <m/>
    <m/>
    <m/>
    <m/>
  </r>
  <r>
    <x v="460"/>
    <x v="9"/>
    <d v="2024-03-27T00:00:00"/>
    <x v="8"/>
    <x v="1"/>
    <s v="54.567.890/0001-90"/>
    <x v="2"/>
    <s v="EXTRAVIADO"/>
    <n v="5195"/>
    <x v="1"/>
    <d v="2024-03-28T00:00:00"/>
    <n v="5195"/>
    <m/>
    <m/>
    <m/>
    <m/>
    <m/>
    <m/>
  </r>
  <r>
    <x v="461"/>
    <x v="22"/>
    <d v="2024-02-10T00:00:00"/>
    <x v="4"/>
    <x v="1"/>
    <s v="75.678.901/0001-67"/>
    <x v="2"/>
    <s v="EXTRAVIADO"/>
    <n v="5649"/>
    <x v="1"/>
    <d v="2024-02-11T00:00:00"/>
    <n v="5649"/>
    <m/>
    <m/>
    <m/>
    <m/>
    <m/>
    <m/>
  </r>
  <r>
    <x v="462"/>
    <x v="15"/>
    <d v="2024-09-08T00:00:00"/>
    <x v="5"/>
    <x v="1"/>
    <s v="86.789.012/0001-34"/>
    <x v="0"/>
    <s v="MATERIAL E"/>
    <n v="527"/>
    <x v="0"/>
    <d v="2024-09-09T00:00:00"/>
    <n v="175.66666666666666"/>
    <d v="2024-10-08T00:00:00"/>
    <n v="175.66666666666666"/>
    <d v="2024-10-23T00:00:00"/>
    <n v="175.66666666666666"/>
    <m/>
    <m/>
  </r>
  <r>
    <x v="463"/>
    <x v="42"/>
    <d v="2024-04-22T00:00:00"/>
    <x v="11"/>
    <x v="1"/>
    <s v="31.234.567/0001-89"/>
    <x v="0"/>
    <s v="MATERIAL A"/>
    <n v="7277"/>
    <x v="1"/>
    <d v="2024-04-23T00:00:00"/>
    <n v="7277"/>
    <m/>
    <m/>
    <m/>
    <m/>
    <m/>
    <m/>
  </r>
  <r>
    <x v="464"/>
    <x v="31"/>
    <d v="2023-12-11T00:00:00"/>
    <x v="9"/>
    <x v="0"/>
    <s v="33.456.789/0001-23"/>
    <x v="2"/>
    <s v="EXTRAVIADO"/>
    <n v="6242"/>
    <x v="1"/>
    <d v="2023-12-12T00:00:00"/>
    <n v="6242"/>
    <m/>
    <m/>
    <m/>
    <m/>
    <m/>
    <m/>
  </r>
  <r>
    <x v="465"/>
    <x v="33"/>
    <d v="2023-12-10T00:00:00"/>
    <x v="9"/>
    <x v="0"/>
    <s v="87.890.123/0001-01"/>
    <x v="1"/>
    <s v="Factoring Fee"/>
    <n v="9670"/>
    <x v="2"/>
    <d v="2023-12-11T00:00:00"/>
    <n v="4835"/>
    <d v="2024-01-09T00:00:00"/>
    <n v="4835"/>
    <m/>
    <m/>
    <m/>
    <m/>
  </r>
  <r>
    <x v="466"/>
    <x v="26"/>
    <d v="2023-10-01T00:00:00"/>
    <x v="3"/>
    <x v="0"/>
    <s v="41.234.567/0001-89"/>
    <x v="0"/>
    <s v="MATERIAL B"/>
    <n v="2636"/>
    <x v="1"/>
    <d v="2023-10-02T00:00:00"/>
    <n v="2636"/>
    <m/>
    <m/>
    <m/>
    <m/>
    <m/>
    <m/>
  </r>
  <r>
    <x v="467"/>
    <x v="24"/>
    <d v="2024-02-03T00:00:00"/>
    <x v="4"/>
    <x v="1"/>
    <s v="77.890.123/0001-01"/>
    <x v="1"/>
    <s v="Impostos"/>
    <n v="1670"/>
    <x v="3"/>
    <d v="2024-02-04T00:00:00"/>
    <n v="417.5"/>
    <d v="2024-03-04T00:00:00"/>
    <n v="417.5"/>
    <d v="2024-03-19T00:00:00"/>
    <n v="417.5"/>
    <d v="2024-04-03T00:00:00"/>
    <n v="417.5"/>
  </r>
  <r>
    <x v="468"/>
    <x v="44"/>
    <d v="2023-09-18T00:00:00"/>
    <x v="5"/>
    <x v="0"/>
    <s v="74.567.890/0001-90"/>
    <x v="0"/>
    <s v="MATERIAL C"/>
    <n v="1754"/>
    <x v="2"/>
    <d v="2023-09-19T00:00:00"/>
    <n v="877"/>
    <d v="2023-10-18T00:00:00"/>
    <n v="877"/>
    <m/>
    <m/>
    <m/>
    <m/>
  </r>
  <r>
    <x v="469"/>
    <x v="32"/>
    <d v="2023-12-29T00:00:00"/>
    <x v="9"/>
    <x v="0"/>
    <s v="23.456.789/0001-23"/>
    <x v="0"/>
    <s v="MATERIAL E"/>
    <n v="1967"/>
    <x v="1"/>
    <d v="2023-12-30T00:00:00"/>
    <n v="1967"/>
    <m/>
    <m/>
    <m/>
    <m/>
    <m/>
    <m/>
  </r>
  <r>
    <x v="470"/>
    <x v="46"/>
    <d v="2024-02-21T00:00:00"/>
    <x v="4"/>
    <x v="1"/>
    <s v="44.567.890/0001-90"/>
    <x v="0"/>
    <s v="MATERIAL E"/>
    <n v="2838"/>
    <x v="1"/>
    <d v="2024-02-22T00:00:00"/>
    <n v="2838"/>
    <m/>
    <m/>
    <m/>
    <m/>
    <m/>
    <m/>
  </r>
  <r>
    <x v="471"/>
    <x v="36"/>
    <d v="2024-04-05T00:00:00"/>
    <x v="11"/>
    <x v="1"/>
    <s v="29.012.345/0001-45"/>
    <x v="0"/>
    <s v="MATERIAL B"/>
    <n v="6251"/>
    <x v="1"/>
    <d v="2024-04-06T00:00:00"/>
    <n v="6251"/>
    <m/>
    <m/>
    <m/>
    <m/>
    <m/>
    <m/>
  </r>
  <r>
    <x v="472"/>
    <x v="2"/>
    <d v="2024-01-10T00:00:00"/>
    <x v="0"/>
    <x v="1"/>
    <s v="32.345.678/0001-56"/>
    <x v="0"/>
    <s v="MATERIAL C"/>
    <n v="8439"/>
    <x v="0"/>
    <d v="2024-01-11T00:00:00"/>
    <n v="2813"/>
    <d v="2024-02-09T00:00:00"/>
    <n v="2813"/>
    <d v="2024-02-24T00:00:00"/>
    <n v="2813"/>
    <m/>
    <m/>
  </r>
  <r>
    <x v="473"/>
    <x v="33"/>
    <d v="2024-06-30T00:00:00"/>
    <x v="2"/>
    <x v="1"/>
    <s v="87.890.123/0001-01"/>
    <x v="1"/>
    <s v="Factoring Fee"/>
    <n v="8706"/>
    <x v="2"/>
    <d v="2024-07-01T00:00:00"/>
    <n v="4353"/>
    <d v="2024-07-30T00:00:00"/>
    <n v="4353"/>
    <m/>
    <m/>
    <m/>
    <m/>
  </r>
  <r>
    <x v="474"/>
    <x v="19"/>
    <d v="2023-09-11T00:00:00"/>
    <x v="5"/>
    <x v="0"/>
    <s v="43.456.789/0001-23"/>
    <x v="1"/>
    <s v="Pagamentos ADMs"/>
    <n v="9705"/>
    <x v="1"/>
    <d v="2023-09-12T00:00:00"/>
    <n v="9705"/>
    <m/>
    <m/>
    <m/>
    <m/>
    <m/>
    <m/>
  </r>
  <r>
    <x v="475"/>
    <x v="44"/>
    <d v="2023-12-12T00:00:00"/>
    <x v="9"/>
    <x v="0"/>
    <s v="74.567.890/0001-90"/>
    <x v="0"/>
    <s v="MATERIAL C"/>
    <n v="2802"/>
    <x v="0"/>
    <d v="2023-12-13T00:00:00"/>
    <n v="934"/>
    <d v="2024-01-11T00:00:00"/>
    <n v="934"/>
    <d v="2024-01-26T00:00:00"/>
    <n v="934"/>
    <m/>
    <m/>
  </r>
  <r>
    <x v="476"/>
    <x v="17"/>
    <d v="2024-06-12T00:00:00"/>
    <x v="2"/>
    <x v="1"/>
    <s v="66.789.012/0001-34"/>
    <x v="1"/>
    <s v="Factoring Fee"/>
    <n v="4886"/>
    <x v="1"/>
    <d v="2024-06-13T00:00:00"/>
    <n v="4886"/>
    <m/>
    <m/>
    <m/>
    <m/>
    <m/>
    <m/>
  </r>
  <r>
    <x v="477"/>
    <x v="34"/>
    <d v="2024-07-26T00:00:00"/>
    <x v="6"/>
    <x v="1"/>
    <s v="42.345.678/0001-56"/>
    <x v="1"/>
    <s v="Consultoria"/>
    <n v="5905"/>
    <x v="1"/>
    <d v="2024-07-27T00:00:00"/>
    <n v="5905"/>
    <m/>
    <m/>
    <m/>
    <m/>
    <m/>
    <m/>
  </r>
  <r>
    <x v="478"/>
    <x v="3"/>
    <d v="2023-09-15T00:00:00"/>
    <x v="5"/>
    <x v="0"/>
    <s v="99.012.345/0001-45"/>
    <x v="0"/>
    <s v="MATERIAL B"/>
    <n v="7209"/>
    <x v="3"/>
    <d v="2023-09-16T00:00:00"/>
    <n v="1802.25"/>
    <d v="2023-10-15T00:00:00"/>
    <n v="1802.25"/>
    <d v="2023-10-30T00:00:00"/>
    <n v="1802.25"/>
    <d v="2023-11-14T00:00:00"/>
    <n v="1802.25"/>
  </r>
  <r>
    <x v="479"/>
    <x v="43"/>
    <d v="2023-11-12T00:00:00"/>
    <x v="10"/>
    <x v="0"/>
    <s v="64.567.890/0001-90"/>
    <x v="1"/>
    <s v="Pagamentos ADMs"/>
    <n v="9939"/>
    <x v="3"/>
    <d v="2023-11-13T00:00:00"/>
    <n v="2484.75"/>
    <d v="2023-12-12T00:00:00"/>
    <n v="2484.75"/>
    <d v="2023-12-27T00:00:00"/>
    <n v="2484.75"/>
    <d v="2024-01-11T00:00:00"/>
    <n v="2484.75"/>
  </r>
  <r>
    <x v="480"/>
    <x v="12"/>
    <d v="2024-02-04T00:00:00"/>
    <x v="4"/>
    <x v="1"/>
    <s v="52.345.678/0001-56"/>
    <x v="0"/>
    <s v="MATERIAL A"/>
    <n v="9183"/>
    <x v="2"/>
    <d v="2024-02-05T00:00:00"/>
    <n v="4591.5"/>
    <d v="2024-03-05T00:00:00"/>
    <n v="4591.5"/>
    <m/>
    <m/>
    <m/>
    <m/>
  </r>
  <r>
    <x v="481"/>
    <x v="13"/>
    <d v="2023-09-24T00:00:00"/>
    <x v="5"/>
    <x v="0"/>
    <s v="09.012.345/0001-45"/>
    <x v="0"/>
    <s v="MATERIAL D"/>
    <n v="6641"/>
    <x v="3"/>
    <d v="2023-09-25T00:00:00"/>
    <n v="1660.25"/>
    <d v="2023-10-24T00:00:00"/>
    <n v="1660.25"/>
    <d v="2023-11-08T00:00:00"/>
    <n v="1660.25"/>
    <d v="2023-11-23T00:00:00"/>
    <n v="1660.25"/>
  </r>
  <r>
    <x v="482"/>
    <x v="1"/>
    <d v="2023-10-11T00:00:00"/>
    <x v="3"/>
    <x v="0"/>
    <s v="45.678.901/0001-67"/>
    <x v="1"/>
    <s v="Factoring Fee"/>
    <n v="4292"/>
    <x v="1"/>
    <d v="2023-10-12T00:00:00"/>
    <n v="4292"/>
    <m/>
    <m/>
    <m/>
    <m/>
    <m/>
    <m/>
  </r>
  <r>
    <x v="483"/>
    <x v="41"/>
    <d v="2023-08-29T00:00:00"/>
    <x v="7"/>
    <x v="0"/>
    <s v="18.901.234/0001-78"/>
    <x v="0"/>
    <s v="MATERIAL D"/>
    <n v="6758"/>
    <x v="1"/>
    <d v="2023-08-30T00:00:00"/>
    <n v="6758"/>
    <m/>
    <m/>
    <m/>
    <m/>
    <m/>
    <m/>
  </r>
  <r>
    <x v="484"/>
    <x v="40"/>
    <d v="2024-01-13T00:00:00"/>
    <x v="0"/>
    <x v="1"/>
    <s v="12.345.678/0001-56"/>
    <x v="2"/>
    <s v="EXTRAVIADO"/>
    <n v="490"/>
    <x v="1"/>
    <d v="2024-01-14T00:00:00"/>
    <n v="490"/>
    <m/>
    <m/>
    <m/>
    <m/>
    <m/>
    <m/>
  </r>
  <r>
    <x v="485"/>
    <x v="18"/>
    <d v="2024-04-15T00:00:00"/>
    <x v="11"/>
    <x v="1"/>
    <s v="30.123.456/0001-12"/>
    <x v="0"/>
    <s v="MATERIAL D"/>
    <n v="4256"/>
    <x v="1"/>
    <d v="2024-04-16T00:00:00"/>
    <n v="4256"/>
    <m/>
    <m/>
    <m/>
    <m/>
    <m/>
    <m/>
  </r>
  <r>
    <x v="486"/>
    <x v="28"/>
    <d v="2023-09-23T00:00:00"/>
    <x v="5"/>
    <x v="0"/>
    <s v="98.901.234/0001-78"/>
    <x v="1"/>
    <s v="Impostos"/>
    <n v="3784"/>
    <x v="3"/>
    <d v="2023-09-24T00:00:00"/>
    <n v="946"/>
    <d v="2023-10-23T00:00:00"/>
    <n v="946"/>
    <d v="2023-11-07T00:00:00"/>
    <n v="946"/>
    <d v="2023-11-22T00:00:00"/>
    <n v="946"/>
  </r>
  <r>
    <x v="487"/>
    <x v="15"/>
    <d v="2023-11-29T00:00:00"/>
    <x v="10"/>
    <x v="0"/>
    <s v="86.789.012/0001-34"/>
    <x v="0"/>
    <s v="MATERIAL E"/>
    <n v="7456"/>
    <x v="3"/>
    <d v="2023-11-30T00:00:00"/>
    <n v="1864"/>
    <d v="2023-12-29T00:00:00"/>
    <n v="1864"/>
    <d v="2024-01-13T00:00:00"/>
    <n v="1864"/>
    <d v="2024-01-28T00:00:00"/>
    <n v="1864"/>
  </r>
  <r>
    <x v="488"/>
    <x v="12"/>
    <d v="2023-12-23T00:00:00"/>
    <x v="9"/>
    <x v="0"/>
    <s v="52.345.678/0001-56"/>
    <x v="0"/>
    <s v="MATERIAL A"/>
    <n v="1344"/>
    <x v="3"/>
    <d v="2023-12-24T00:00:00"/>
    <n v="336"/>
    <d v="2024-01-22T00:00:00"/>
    <n v="336"/>
    <d v="2024-02-06T00:00:00"/>
    <n v="336"/>
    <d v="2024-02-21T00:00:00"/>
    <n v="336"/>
  </r>
  <r>
    <x v="489"/>
    <x v="35"/>
    <d v="2023-12-06T00:00:00"/>
    <x v="9"/>
    <x v="0"/>
    <s v="21.234.567/0001-89"/>
    <x v="1"/>
    <s v="Consultoria"/>
    <n v="8367"/>
    <x v="1"/>
    <d v="2023-12-07T00:00:00"/>
    <n v="8367"/>
    <m/>
    <m/>
    <m/>
    <m/>
    <m/>
    <m/>
  </r>
  <r>
    <x v="490"/>
    <x v="40"/>
    <d v="2024-02-11T00:00:00"/>
    <x v="4"/>
    <x v="1"/>
    <s v="12.345.678/0001-56"/>
    <x v="2"/>
    <s v="EXTRAVIADO"/>
    <n v="9077"/>
    <x v="1"/>
    <d v="2024-02-12T00:00:00"/>
    <n v="9077"/>
    <m/>
    <m/>
    <m/>
    <m/>
    <m/>
    <m/>
  </r>
  <r>
    <x v="491"/>
    <x v="30"/>
    <d v="2023-09-13T00:00:00"/>
    <x v="5"/>
    <x v="0"/>
    <s v="01.234.567/0001-89"/>
    <x v="1"/>
    <s v="Pagamentos ADMs"/>
    <n v="6656"/>
    <x v="0"/>
    <d v="2023-09-14T00:00:00"/>
    <n v="2218.6666666666665"/>
    <d v="2023-10-13T00:00:00"/>
    <n v="2218.6666666666665"/>
    <d v="2023-10-28T00:00:00"/>
    <n v="2218.6666666666665"/>
    <m/>
    <m/>
  </r>
  <r>
    <x v="492"/>
    <x v="48"/>
    <d v="2023-08-22T00:00:00"/>
    <x v="7"/>
    <x v="0"/>
    <s v="56.789.012/0001-34"/>
    <x v="1"/>
    <s v="Impostos"/>
    <n v="9287"/>
    <x v="2"/>
    <d v="2023-08-23T00:00:00"/>
    <n v="4643.5"/>
    <d v="2023-09-21T00:00:00"/>
    <n v="4643.5"/>
    <m/>
    <m/>
    <m/>
    <m/>
  </r>
  <r>
    <x v="493"/>
    <x v="34"/>
    <d v="2023-11-14T00:00:00"/>
    <x v="10"/>
    <x v="0"/>
    <s v="42.345.678/0001-56"/>
    <x v="1"/>
    <s v="Consultoria"/>
    <n v="3141"/>
    <x v="3"/>
    <d v="2023-11-15T00:00:00"/>
    <n v="785.25"/>
    <d v="2023-12-14T00:00:00"/>
    <n v="785.25"/>
    <d v="2023-12-29T00:00:00"/>
    <n v="785.25"/>
    <d v="2024-01-13T00:00:00"/>
    <n v="785.25"/>
  </r>
  <r>
    <x v="494"/>
    <x v="43"/>
    <d v="2024-04-26T00:00:00"/>
    <x v="11"/>
    <x v="1"/>
    <s v="64.567.890/0001-90"/>
    <x v="1"/>
    <s v="Pagamentos ADMs"/>
    <n v="5094"/>
    <x v="0"/>
    <d v="2024-04-27T00:00:00"/>
    <n v="1698"/>
    <d v="2024-05-26T00:00:00"/>
    <n v="1698"/>
    <d v="2024-06-10T00:00:00"/>
    <n v="1698"/>
    <m/>
    <m/>
  </r>
  <r>
    <x v="495"/>
    <x v="8"/>
    <d v="2023-11-12T00:00:00"/>
    <x v="10"/>
    <x v="0"/>
    <s v="67.890.123/0001-01"/>
    <x v="0"/>
    <s v="MATERIAL D"/>
    <n v="430"/>
    <x v="3"/>
    <d v="2023-11-13T00:00:00"/>
    <n v="107.5"/>
    <d v="2023-12-12T00:00:00"/>
    <n v="107.5"/>
    <d v="2023-12-27T00:00:00"/>
    <n v="107.5"/>
    <d v="2024-01-11T00:00:00"/>
    <n v="107.5"/>
  </r>
  <r>
    <x v="496"/>
    <x v="44"/>
    <d v="2024-01-09T00:00:00"/>
    <x v="0"/>
    <x v="1"/>
    <s v="74.567.890/0001-90"/>
    <x v="0"/>
    <s v="MATERIAL C"/>
    <n v="595"/>
    <x v="2"/>
    <d v="2024-01-10T00:00:00"/>
    <n v="297.5"/>
    <d v="2024-02-08T00:00:00"/>
    <n v="297.5"/>
    <m/>
    <m/>
    <m/>
    <m/>
  </r>
  <r>
    <x v="497"/>
    <x v="13"/>
    <d v="2024-05-18T00:00:00"/>
    <x v="1"/>
    <x v="1"/>
    <s v="09.012.345/0001-45"/>
    <x v="0"/>
    <s v="MATERIAL D"/>
    <n v="8491"/>
    <x v="2"/>
    <d v="2024-05-19T00:00:00"/>
    <n v="4245.5"/>
    <d v="2024-06-17T00:00:00"/>
    <n v="4245.5"/>
    <m/>
    <m/>
    <m/>
    <m/>
  </r>
  <r>
    <x v="498"/>
    <x v="32"/>
    <d v="2023-08-28T00:00:00"/>
    <x v="7"/>
    <x v="0"/>
    <s v="23.456.789/0001-23"/>
    <x v="0"/>
    <s v="MATERIAL E"/>
    <n v="8360"/>
    <x v="1"/>
    <d v="2023-08-29T00:00:00"/>
    <n v="8360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1111111111"/>
    <s v="StellarCore Systems"/>
    <d v="2023-01-01T00:00:00"/>
    <x v="0"/>
    <x v="0"/>
    <s v="111.1111.1111"/>
    <s v="Entrada"/>
    <s v="teste"/>
    <n v="5000"/>
    <s v="1+2"/>
    <d v="2023-01-02T00:00:00"/>
    <n v="1666.6666666666667"/>
    <d v="2023-01-31T00:00:00"/>
    <n v="1666.6666666666667"/>
    <d v="2023-02-15T00:00:00"/>
    <n v="1666.6666666666667"/>
    <m/>
    <m/>
  </r>
  <r>
    <s v="44101109"/>
    <s v="TerraVista Holdings"/>
    <d v="2024-05-09T00:00:00"/>
    <x v="1"/>
    <x v="1"/>
    <s v="45.678.901/0001-67"/>
    <s v="Saída"/>
    <s v="Factoring Fee"/>
    <n v="-2457"/>
    <s v="A VISTA"/>
    <d v="2024-05-10T00:00:00"/>
    <n v="-2457"/>
    <m/>
    <m/>
    <m/>
    <m/>
    <m/>
    <m/>
  </r>
  <r>
    <s v="9214109"/>
    <s v="QuantumPulse LLC"/>
    <d v="2024-06-22T00:00:00"/>
    <x v="2"/>
    <x v="1"/>
    <s v="32.345.678/0001-56"/>
    <s v="Entrada"/>
    <s v="MATERIAL C"/>
    <n v="9594"/>
    <s v="1+1"/>
    <d v="2024-06-23T00:00:00"/>
    <n v="4797"/>
    <d v="2024-07-22T00:00:00"/>
    <n v="4797"/>
    <m/>
    <m/>
    <m/>
    <m/>
  </r>
  <r>
    <s v="27133159"/>
    <s v="NovaSphere Industries"/>
    <d v="2023-10-19T00:00:00"/>
    <x v="3"/>
    <x v="0"/>
    <s v="99.012.345/0001-45"/>
    <s v="Entrada"/>
    <s v="MATERIAL B"/>
    <n v="9086"/>
    <s v="1+2"/>
    <d v="2023-10-20T00:00:00"/>
    <n v="3028.6666666666665"/>
    <d v="2023-11-18T00:00:00"/>
    <n v="3028.6666666666665"/>
    <d v="2023-12-03T00:00:00"/>
    <n v="3028.6666666666665"/>
    <m/>
    <m/>
  </r>
  <r>
    <s v="670197"/>
    <s v="AeroMatrix Solutions"/>
    <d v="2023-05-22T00:00:00"/>
    <x v="1"/>
    <x v="0"/>
    <s v="88.901.234/0001-78"/>
    <s v="Entrada"/>
    <s v="MATERIAL D"/>
    <n v="9199"/>
    <s v="1+2"/>
    <d v="2023-05-23T00:00:00"/>
    <n v="3066.3333333333335"/>
    <d v="2023-06-21T00:00:00"/>
    <n v="3066.3333333333335"/>
    <d v="2023-07-06T00:00:00"/>
    <n v="3066.3333333333335"/>
    <m/>
    <m/>
  </r>
  <r>
    <s v="76149193"/>
    <s v="SilverStone Ventures"/>
    <d v="2024-02-24T00:00:00"/>
    <x v="4"/>
    <x v="1"/>
    <s v="89.012.345/0001-45"/>
    <s v="Entrada"/>
    <s v="MATERIAL A"/>
    <n v="8090"/>
    <s v="1+3"/>
    <d v="2024-02-25T00:00:00"/>
    <n v="2022.5"/>
    <d v="2024-03-25T00:00:00"/>
    <n v="2022.5"/>
    <d v="2024-04-09T00:00:00"/>
    <n v="2022.5"/>
    <d v="2024-04-24T00:00:00"/>
    <n v="2022.5"/>
  </r>
  <r>
    <s v="3913638"/>
    <s v="ApexNexus Innovations"/>
    <d v="2023-09-01T00:00:00"/>
    <x v="5"/>
    <x v="0"/>
    <s v="34.567.890/0001-90"/>
    <s v="Estornos"/>
    <s v="ENVIO INCORRETO"/>
    <n v="1396"/>
    <s v="A VISTA"/>
    <d v="2023-09-02T00:00:00"/>
    <n v="1396"/>
    <m/>
    <m/>
    <m/>
    <m/>
    <m/>
    <m/>
  </r>
  <r>
    <s v="97107228"/>
    <s v="TerraVista Holdings"/>
    <d v="2024-06-01T00:00:00"/>
    <x v="2"/>
    <x v="1"/>
    <s v="45.678.901/0001-67"/>
    <s v="Saída"/>
    <s v="Factoring Fee"/>
    <n v="-6710"/>
    <s v="1+3"/>
    <d v="2024-06-02T00:00:00"/>
    <n v="-1677.5"/>
    <d v="2024-07-01T00:00:00"/>
    <n v="-1677.5"/>
    <d v="2024-07-16T00:00:00"/>
    <n v="-1677.5"/>
    <d v="2024-07-31T00:00:00"/>
    <n v="-1677.5"/>
  </r>
  <r>
    <s v="6410648"/>
    <s v="ZenTech Solutions"/>
    <d v="2023-10-16T00:00:00"/>
    <x v="3"/>
    <x v="0"/>
    <s v="08.901.234/0001-78"/>
    <s v="Saída"/>
    <s v="Factoring Fee"/>
    <n v="-2984"/>
    <s v="1+3"/>
    <d v="2023-10-17T00:00:00"/>
    <n v="-746"/>
    <d v="2023-11-15T00:00:00"/>
    <n v="-746"/>
    <d v="2023-11-30T00:00:00"/>
    <n v="-746"/>
    <d v="2023-12-15T00:00:00"/>
    <n v="-746"/>
  </r>
  <r>
    <s v="7654233"/>
    <s v="FusionPeak Technologies"/>
    <d v="2023-09-11T00:00:00"/>
    <x v="5"/>
    <x v="0"/>
    <s v="67.890.123/0001-01"/>
    <s v="Entrada"/>
    <s v="MATERIAL D"/>
    <n v="5644"/>
    <s v="1+1"/>
    <d v="2023-09-12T00:00:00"/>
    <n v="2822"/>
    <d v="2023-10-11T00:00:00"/>
    <n v="2822"/>
    <m/>
    <m/>
    <m/>
    <m/>
  </r>
  <r>
    <s v="1414734"/>
    <s v="FusionPeak Technologies"/>
    <d v="2023-07-21T00:00:00"/>
    <x v="6"/>
    <x v="0"/>
    <s v="67.890.123/0001-01"/>
    <s v="Entrada"/>
    <s v="MATERIAL D"/>
    <n v="5862"/>
    <s v="1+3"/>
    <d v="2023-07-22T00:00:00"/>
    <n v="1465.5"/>
    <d v="2023-08-20T00:00:00"/>
    <n v="1465.5"/>
    <d v="2023-09-04T00:00:00"/>
    <n v="1465.5"/>
    <d v="2023-09-19T00:00:00"/>
    <n v="1465.5"/>
  </r>
  <r>
    <s v="648161"/>
    <s v="FusionPeak Technologies"/>
    <d v="2024-02-21T00:00:00"/>
    <x v="4"/>
    <x v="1"/>
    <s v="67.890.123/0001-01"/>
    <s v="Entrada"/>
    <s v="MATERIAL D"/>
    <n v="762"/>
    <s v="1+3"/>
    <d v="2024-02-22T00:00:00"/>
    <n v="190.5"/>
    <d v="2024-03-22T00:00:00"/>
    <n v="190.5"/>
    <d v="2024-04-06T00:00:00"/>
    <n v="190.5"/>
    <d v="2024-04-21T00:00:00"/>
    <n v="190.5"/>
  </r>
  <r>
    <s v="2213748"/>
    <s v="TerraFusion Industries"/>
    <d v="2023-08-11T00:00:00"/>
    <x v="7"/>
    <x v="0"/>
    <s v="54.567.890/0001-90"/>
    <s v="Estornos"/>
    <s v="EXTRAVIADO"/>
    <n v="626"/>
    <s v="A VISTA"/>
    <d v="2023-08-12T00:00:00"/>
    <n v="626"/>
    <m/>
    <m/>
    <m/>
    <m/>
    <m/>
    <m/>
  </r>
  <r>
    <s v="1023235"/>
    <s v="FusionPeak Technologies"/>
    <d v="2023-10-18T00:00:00"/>
    <x v="3"/>
    <x v="0"/>
    <s v="67.890.123/0001-01"/>
    <s v="Entrada"/>
    <s v="MATERIAL D"/>
    <n v="5530"/>
    <s v="1+3"/>
    <d v="2023-10-19T00:00:00"/>
    <n v="1382.5"/>
    <d v="2023-11-17T00:00:00"/>
    <n v="1382.5"/>
    <d v="2023-12-02T00:00:00"/>
    <n v="1382.5"/>
    <d v="2023-12-17T00:00:00"/>
    <n v="1382.5"/>
  </r>
  <r>
    <s v="676859"/>
    <s v="BlueStone Networks"/>
    <d v="2023-06-24T00:00:00"/>
    <x v="2"/>
    <x v="0"/>
    <s v="53.456.789/0001-23"/>
    <s v="Entrada"/>
    <s v="MATERIAL C"/>
    <n v="3652"/>
    <s v="1+3"/>
    <d v="2023-06-25T00:00:00"/>
    <n v="913"/>
    <d v="2023-07-24T00:00:00"/>
    <n v="913"/>
    <d v="2023-08-08T00:00:00"/>
    <n v="913"/>
    <d v="2023-08-23T00:00:00"/>
    <n v="913"/>
  </r>
  <r>
    <s v="3312978"/>
    <s v="BlueWave Networks"/>
    <d v="2024-03-25T00:00:00"/>
    <x v="8"/>
    <x v="1"/>
    <s v="22.345.678/0001-56"/>
    <s v="Saída"/>
    <s v="Pagamentos ADMs"/>
    <n v="-8685"/>
    <s v="1+2"/>
    <d v="2024-03-26T00:00:00"/>
    <n v="-2895"/>
    <d v="2024-04-24T00:00:00"/>
    <n v="-2895"/>
    <d v="2024-05-09T00:00:00"/>
    <n v="-2895"/>
    <m/>
    <m/>
  </r>
  <r>
    <s v="644941"/>
    <s v="BrightWave Technologies"/>
    <d v="2023-10-12T00:00:00"/>
    <x v="3"/>
    <x v="0"/>
    <s v="52.345.678/0001-56"/>
    <s v="Entrada"/>
    <s v="MATERIAL A"/>
    <n v="8792"/>
    <s v="1+2"/>
    <d v="2023-10-13T00:00:00"/>
    <n v="2930.6666666666665"/>
    <d v="2023-11-11T00:00:00"/>
    <n v="2930.6666666666665"/>
    <d v="2023-11-26T00:00:00"/>
    <n v="2930.6666666666665"/>
    <m/>
    <m/>
  </r>
  <r>
    <s v="95143197"/>
    <s v="HorizonNexus Corp."/>
    <d v="2023-12-08T00:00:00"/>
    <x v="9"/>
    <x v="0"/>
    <s v="09.012.345/0001-45"/>
    <s v="Entrada"/>
    <s v="MATERIAL D"/>
    <n v="9489"/>
    <s v="A VISTA"/>
    <d v="2023-12-09T00:00:00"/>
    <n v="9489"/>
    <m/>
    <m/>
    <m/>
    <m/>
    <m/>
    <m/>
  </r>
  <r>
    <s v="10081180"/>
    <s v="BrightLeaf Innovations"/>
    <d v="2024-07-15T00:00:00"/>
    <x v="6"/>
    <x v="1"/>
    <s v="10.123.456/0001-12"/>
    <s v="Entrada"/>
    <s v="MATERIAL A"/>
    <n v="4460"/>
    <s v="A VISTA"/>
    <d v="2024-07-16T00:00:00"/>
    <n v="4460"/>
    <m/>
    <m/>
    <m/>
    <m/>
    <m/>
    <m/>
  </r>
  <r>
    <s v="63193"/>
    <s v="TitanFusion Power"/>
    <d v="2023-10-13T00:00:00"/>
    <x v="3"/>
    <x v="0"/>
    <s v="86.789.012/0001-34"/>
    <s v="Entrada"/>
    <s v="MATERIAL E"/>
    <n v="8583"/>
    <s v="1+3"/>
    <d v="2023-10-14T00:00:00"/>
    <n v="2145.75"/>
    <d v="2023-11-12T00:00:00"/>
    <n v="2145.75"/>
    <d v="2023-11-27T00:00:00"/>
    <n v="2145.75"/>
    <d v="2023-12-12T00:00:00"/>
    <n v="2145.75"/>
  </r>
  <r>
    <s v="3841113"/>
    <s v="CrimsonEdge Dynamics"/>
    <d v="2023-12-31T00:00:00"/>
    <x v="9"/>
    <x v="0"/>
    <s v="97.890.123/0001-01"/>
    <s v="Estornos"/>
    <s v="ENVIO INCORRETO"/>
    <n v="1637"/>
    <s v="A VISTA"/>
    <d v="2024-01-01T00:00:00"/>
    <n v="1637"/>
    <m/>
    <m/>
    <m/>
    <m/>
    <m/>
    <m/>
  </r>
  <r>
    <s v="27119245"/>
    <s v="CrimsonCrest Dynamics"/>
    <d v="2023-08-31T00:00:00"/>
    <x v="7"/>
    <x v="0"/>
    <s v="66.789.012/0001-34"/>
    <s v="Saída"/>
    <s v="Factoring Fee"/>
    <n v="-9068"/>
    <s v="1+2"/>
    <d v="2023-09-01T00:00:00"/>
    <n v="-3022.6666666666665"/>
    <d v="2023-09-30T00:00:00"/>
    <n v="-3022.6666666666665"/>
    <d v="2023-10-15T00:00:00"/>
    <n v="-3022.6666666666665"/>
    <m/>
    <m/>
  </r>
  <r>
    <s v="4866227"/>
    <s v="QuantumStream Corp."/>
    <d v="2023-10-11T00:00:00"/>
    <x v="3"/>
    <x v="0"/>
    <s v="30.123.456/0001-12"/>
    <s v="Entrada"/>
    <s v="MATERIAL D"/>
    <n v="8111"/>
    <s v="A VISTA"/>
    <d v="2023-10-12T00:00:00"/>
    <n v="8111"/>
    <m/>
    <m/>
    <m/>
    <m/>
    <m/>
    <m/>
  </r>
  <r>
    <s v="5212318"/>
    <s v="ElevateX Solutions"/>
    <d v="2023-09-23T00:00:00"/>
    <x v="5"/>
    <x v="0"/>
    <s v="43.456.789/0001-23"/>
    <s v="Saída"/>
    <s v="Pagamentos ADMs"/>
    <n v="-3919"/>
    <s v="1+2"/>
    <d v="2023-09-24T00:00:00"/>
    <n v="-1306.3333333333333"/>
    <d v="2023-10-23T00:00:00"/>
    <n v="-1306.3333333333333"/>
    <d v="2023-11-07T00:00:00"/>
    <n v="-1306.3333333333333"/>
    <m/>
    <m/>
  </r>
  <r>
    <s v="471166"/>
    <s v="CrimsonEdge Dynamics"/>
    <d v="2024-02-24T00:00:00"/>
    <x v="4"/>
    <x v="1"/>
    <s v="97.890.123/0001-01"/>
    <s v="Estornos"/>
    <s v="ENVIO INCORRETO"/>
    <n v="1358"/>
    <s v="A VISTA"/>
    <d v="2024-02-25T00:00:00"/>
    <n v="1358"/>
    <m/>
    <m/>
    <m/>
    <m/>
    <m/>
    <m/>
  </r>
  <r>
    <s v="3122158"/>
    <s v="TerraVista Holdings"/>
    <d v="2023-11-04T00:00:00"/>
    <x v="10"/>
    <x v="0"/>
    <s v="45.678.901/0001-67"/>
    <s v="Saída"/>
    <s v="Factoring Fee"/>
    <n v="-2013"/>
    <s v="A VISTA"/>
    <d v="2023-11-05T00:00:00"/>
    <n v="-2013"/>
    <m/>
    <m/>
    <m/>
    <m/>
    <m/>
    <m/>
  </r>
  <r>
    <s v="6936233"/>
    <s v="ElevatePulse LLC"/>
    <d v="2024-01-07T00:00:00"/>
    <x v="0"/>
    <x v="1"/>
    <s v="85.678.901/0001-67"/>
    <s v="Saída"/>
    <s v="Pagamentos ADMs"/>
    <n v="-9208"/>
    <s v="1+1"/>
    <d v="2024-01-08T00:00:00"/>
    <n v="-4604"/>
    <d v="2024-02-06T00:00:00"/>
    <n v="-4604"/>
    <m/>
    <m/>
    <m/>
    <m/>
  </r>
  <r>
    <s v="6555138"/>
    <s v="RadiantVista Holdings"/>
    <d v="2023-08-23T00:00:00"/>
    <x v="7"/>
    <x v="0"/>
    <s v="20.123.456/0001-12"/>
    <s v="Entrada"/>
    <s v="MATERIAL B"/>
    <n v="674"/>
    <s v="1+2"/>
    <d v="2023-08-24T00:00:00"/>
    <n v="224.66666666666666"/>
    <d v="2023-09-22T00:00:00"/>
    <n v="224.66666666666666"/>
    <d v="2023-10-07T00:00:00"/>
    <n v="224.66666666666666"/>
    <m/>
    <m/>
  </r>
  <r>
    <s v="914118"/>
    <s v="CrimsonCrest Dynamics"/>
    <d v="2024-07-09T00:00:00"/>
    <x v="6"/>
    <x v="1"/>
    <s v="66.789.012/0001-34"/>
    <s v="Saída"/>
    <s v="Factoring Fee"/>
    <n v="-2715"/>
    <s v="1+2"/>
    <d v="2024-07-10T00:00:00"/>
    <n v="-905"/>
    <d v="2024-08-08T00:00:00"/>
    <n v="-905"/>
    <d v="2024-08-23T00:00:00"/>
    <n v="-905"/>
    <m/>
    <m/>
  </r>
  <r>
    <s v="6610263"/>
    <s v="FusionPeak Technologies"/>
    <d v="2024-01-29T00:00:00"/>
    <x v="0"/>
    <x v="1"/>
    <s v="67.890.123/0001-01"/>
    <s v="Entrada"/>
    <s v="MATERIAL D"/>
    <n v="912"/>
    <s v="1+3"/>
    <d v="2024-01-30T00:00:00"/>
    <n v="228"/>
    <d v="2024-02-28T00:00:00"/>
    <n v="228"/>
    <d v="2024-03-14T00:00:00"/>
    <n v="228"/>
    <d v="2024-03-29T00:00:00"/>
    <n v="228"/>
  </r>
  <r>
    <s v="535828"/>
    <s v="SilverStone Ventures"/>
    <d v="2023-11-15T00:00:00"/>
    <x v="10"/>
    <x v="0"/>
    <s v="89.012.345/0001-45"/>
    <s v="Entrada"/>
    <s v="MATERIAL A"/>
    <n v="1239"/>
    <s v="1+3"/>
    <d v="2023-11-16T00:00:00"/>
    <n v="309.75"/>
    <d v="2023-12-15T00:00:00"/>
    <n v="309.75"/>
    <d v="2023-12-30T00:00:00"/>
    <n v="309.75"/>
    <d v="2024-01-14T00:00:00"/>
    <n v="309.75"/>
  </r>
  <r>
    <s v="422865"/>
    <s v="BlueWave Networks"/>
    <d v="2024-01-27T00:00:00"/>
    <x v="0"/>
    <x v="1"/>
    <s v="22.345.678/0001-56"/>
    <s v="Saída"/>
    <s v="Pagamentos ADMs"/>
    <n v="-9295"/>
    <s v="A VISTA"/>
    <d v="2024-01-28T00:00:00"/>
    <n v="-9295"/>
    <m/>
    <m/>
    <m/>
    <m/>
    <m/>
    <m/>
  </r>
  <r>
    <s v="94130169"/>
    <s v="BrightWave Technologies"/>
    <d v="2023-10-10T00:00:00"/>
    <x v="3"/>
    <x v="0"/>
    <s v="52.345.678/0001-56"/>
    <s v="Entrada"/>
    <s v="MATERIAL A"/>
    <n v="3922"/>
    <s v="1+2"/>
    <d v="2023-10-11T00:00:00"/>
    <n v="1307.3333333333333"/>
    <d v="2023-11-09T00:00:00"/>
    <n v="1307.3333333333333"/>
    <d v="2023-11-24T00:00:00"/>
    <n v="1307.3333333333333"/>
    <m/>
    <m/>
  </r>
  <r>
    <s v="2710416"/>
    <s v="InfinitySky Labs"/>
    <d v="2023-07-22T00:00:00"/>
    <x v="6"/>
    <x v="0"/>
    <s v="75.678.901/0001-67"/>
    <s v="Estornos"/>
    <s v="EXTRAVIADO"/>
    <n v="6216"/>
    <s v="A VISTA"/>
    <d v="2023-07-23T00:00:00"/>
    <n v="6216"/>
    <m/>
    <m/>
    <m/>
    <m/>
    <m/>
    <m/>
  </r>
  <r>
    <s v="151262"/>
    <s v="BrightLeaf Innovations"/>
    <d v="2023-07-24T00:00:00"/>
    <x v="6"/>
    <x v="0"/>
    <s v="10.123.456/0001-12"/>
    <s v="Entrada"/>
    <s v="MATERIAL A"/>
    <n v="2210"/>
    <s v="1+1"/>
    <d v="2023-07-25T00:00:00"/>
    <n v="1105"/>
    <d v="2023-08-23T00:00:00"/>
    <n v="1105"/>
    <m/>
    <m/>
    <m/>
    <m/>
  </r>
  <r>
    <s v="3710348"/>
    <s v="CrimsonEdge Dynamics"/>
    <d v="2024-03-06T00:00:00"/>
    <x v="8"/>
    <x v="1"/>
    <s v="97.890.123/0001-01"/>
    <s v="Estornos"/>
    <s v="ENVIO INCORRETO"/>
    <n v="9667"/>
    <s v="A VISTA"/>
    <d v="2024-03-07T00:00:00"/>
    <n v="9667"/>
    <m/>
    <m/>
    <m/>
    <m/>
    <m/>
    <m/>
  </r>
  <r>
    <s v="171063"/>
    <s v="ApexNexus Innovations"/>
    <d v="2024-04-09T00:00:00"/>
    <x v="11"/>
    <x v="1"/>
    <s v="34.567.890/0001-90"/>
    <s v="Estornos"/>
    <s v="ENVIO INCORRETO"/>
    <n v="8317"/>
    <s v="A VISTA"/>
    <d v="2024-04-10T00:00:00"/>
    <n v="8317"/>
    <m/>
    <m/>
    <m/>
    <m/>
    <m/>
    <m/>
  </r>
  <r>
    <s v="95102140"/>
    <s v="VertexSolar Power"/>
    <d v="2023-10-02T00:00:00"/>
    <x v="3"/>
    <x v="0"/>
    <s v="55.678.901/0001-67"/>
    <s v="Estornos"/>
    <s v="ENVIO INCORRETO"/>
    <n v="2499"/>
    <s v="A VISTA"/>
    <d v="2023-10-03T00:00:00"/>
    <n v="2499"/>
    <m/>
    <m/>
    <m/>
    <m/>
    <m/>
    <m/>
  </r>
  <r>
    <s v="7121249"/>
    <s v="FusionPeak Technologies"/>
    <d v="2023-11-25T00:00:00"/>
    <x v="10"/>
    <x v="0"/>
    <s v="67.890.123/0001-01"/>
    <s v="Entrada"/>
    <s v="MATERIAL D"/>
    <n v="2271"/>
    <s v="1+2"/>
    <d v="2023-11-26T00:00:00"/>
    <n v="757"/>
    <d v="2023-12-25T00:00:00"/>
    <n v="757"/>
    <d v="2024-01-09T00:00:00"/>
    <n v="757"/>
    <m/>
    <m/>
  </r>
  <r>
    <s v="8276221"/>
    <s v="ApexNexus Innovations"/>
    <d v="2024-08-05T00:00:00"/>
    <x v="7"/>
    <x v="1"/>
    <s v="34.567.890/0001-90"/>
    <s v="Estornos"/>
    <s v="ENVIO INCORRETO"/>
    <n v="3684"/>
    <s v="A VISTA"/>
    <d v="2024-08-06T00:00:00"/>
    <n v="3684"/>
    <m/>
    <m/>
    <m/>
    <m/>
    <m/>
    <m/>
  </r>
  <r>
    <s v="8741236"/>
    <s v="ZenithStream Technologies"/>
    <d v="2023-10-17T00:00:00"/>
    <x v="3"/>
    <x v="0"/>
    <s v="77.890.123/0001-01"/>
    <s v="Saída"/>
    <s v="Impostos"/>
    <n v="-5533"/>
    <s v="1+1"/>
    <d v="2023-10-18T00:00:00"/>
    <n v="-2766.5"/>
    <d v="2023-11-16T00:00:00"/>
    <n v="-2766.5"/>
    <m/>
    <m/>
    <m/>
    <m/>
  </r>
  <r>
    <s v="10028157"/>
    <s v="InfinityPulse LLC"/>
    <d v="2024-01-01T00:00:00"/>
    <x v="0"/>
    <x v="1"/>
    <s v="11.234.567/0001-89"/>
    <s v="Entrada"/>
    <s v="MATERIAL C"/>
    <n v="9498"/>
    <s v="1+2"/>
    <d v="2024-01-02T00:00:00"/>
    <n v="3166"/>
    <d v="2024-01-31T00:00:00"/>
    <n v="3166"/>
    <d v="2024-02-15T00:00:00"/>
    <n v="3166"/>
    <m/>
    <m/>
  </r>
  <r>
    <s v="68123137"/>
    <s v="ApexNexus Innovations"/>
    <d v="2023-08-12T00:00:00"/>
    <x v="7"/>
    <x v="0"/>
    <s v="34.567.890/0001-90"/>
    <s v="Estornos"/>
    <s v="ENVIO INCORRETO"/>
    <n v="4564"/>
    <s v="A VISTA"/>
    <d v="2023-08-13T00:00:00"/>
    <n v="4564"/>
    <m/>
    <m/>
    <m/>
    <m/>
    <m/>
    <m/>
  </r>
  <r>
    <s v="152129"/>
    <s v="TerraPeak Enterprises"/>
    <d v="2024-07-20T00:00:00"/>
    <x v="6"/>
    <x v="1"/>
    <s v="41.234.567/0001-89"/>
    <s v="Entrada"/>
    <s v="MATERIAL B"/>
    <n v="5538"/>
    <s v="1+3"/>
    <d v="2024-07-21T00:00:00"/>
    <n v="1384.5"/>
    <d v="2024-08-19T00:00:00"/>
    <n v="1384.5"/>
    <d v="2024-09-03T00:00:00"/>
    <n v="1384.5"/>
    <d v="2024-09-18T00:00:00"/>
    <n v="1384.5"/>
  </r>
  <r>
    <s v="15114171"/>
    <s v="ElevatePulse LLC"/>
    <d v="2024-01-29T00:00:00"/>
    <x v="0"/>
    <x v="1"/>
    <s v="85.678.901/0001-67"/>
    <s v="Saída"/>
    <s v="Pagamentos ADMs"/>
    <n v="-3074"/>
    <s v="A VISTA"/>
    <d v="2024-01-30T00:00:00"/>
    <n v="-3074"/>
    <m/>
    <m/>
    <m/>
    <m/>
    <m/>
    <m/>
  </r>
  <r>
    <s v="6544183"/>
    <s v="InfinityPulse LLC"/>
    <d v="2024-08-23T00:00:00"/>
    <x v="7"/>
    <x v="1"/>
    <s v="11.234.567/0001-89"/>
    <s v="Entrada"/>
    <s v="MATERIAL C"/>
    <n v="1534"/>
    <s v="1+3"/>
    <d v="2024-08-24T00:00:00"/>
    <n v="383.5"/>
    <d v="2024-09-22T00:00:00"/>
    <n v="383.5"/>
    <d v="2024-10-07T00:00:00"/>
    <n v="383.5"/>
    <d v="2024-10-22T00:00:00"/>
    <n v="383.5"/>
  </r>
  <r>
    <s v="8679126"/>
    <s v="TerraVista Holdings"/>
    <d v="2023-09-09T00:00:00"/>
    <x v="5"/>
    <x v="0"/>
    <s v="45.678.901/0001-67"/>
    <s v="Saída"/>
    <s v="Factoring Fee"/>
    <n v="-7469"/>
    <s v="A VISTA"/>
    <d v="2023-09-10T00:00:00"/>
    <n v="-7469"/>
    <m/>
    <m/>
    <m/>
    <m/>
    <m/>
    <m/>
  </r>
  <r>
    <s v="1113916"/>
    <s v="HorizonEcho Group"/>
    <d v="2024-03-12T00:00:00"/>
    <x v="8"/>
    <x v="1"/>
    <s v="78.901.234/0001-78"/>
    <s v="Entrada"/>
    <s v="MATERIAL B"/>
    <n v="9947"/>
    <s v="1+2"/>
    <d v="2024-03-13T00:00:00"/>
    <n v="3315.6666666666665"/>
    <d v="2024-04-11T00:00:00"/>
    <n v="3315.6666666666665"/>
    <d v="2024-04-26T00:00:00"/>
    <n v="3315.6666666666665"/>
    <m/>
    <m/>
  </r>
  <r>
    <s v="37122235"/>
    <s v="VortexPeak Dynamics"/>
    <d v="2024-06-29T00:00:00"/>
    <x v="2"/>
    <x v="1"/>
    <s v="98.901.234/0001-78"/>
    <s v="Saída"/>
    <s v="Impostos"/>
    <n v="-2814"/>
    <s v="A VISTA"/>
    <d v="2024-06-30T00:00:00"/>
    <n v="-2814"/>
    <m/>
    <m/>
    <m/>
    <m/>
    <m/>
    <m/>
  </r>
  <r>
    <s v="77644"/>
    <s v="VertexSolar Power"/>
    <d v="2023-12-25T00:00:00"/>
    <x v="9"/>
    <x v="0"/>
    <s v="55.678.901/0001-67"/>
    <s v="Estornos"/>
    <s v="ENVIO INCORRETO"/>
    <n v="2049"/>
    <s v="A VISTA"/>
    <d v="2023-12-26T00:00:00"/>
    <n v="2049"/>
    <m/>
    <m/>
    <m/>
    <m/>
    <m/>
    <m/>
  </r>
  <r>
    <s v="8217192"/>
    <s v="BrightLeaf Innovations"/>
    <d v="2024-01-02T00:00:00"/>
    <x v="0"/>
    <x v="1"/>
    <s v="10.123.456/0001-12"/>
    <s v="Entrada"/>
    <s v="MATERIAL A"/>
    <n v="4784"/>
    <s v="1+1"/>
    <d v="2024-01-03T00:00:00"/>
    <n v="2392"/>
    <d v="2024-02-01T00:00:00"/>
    <n v="2392"/>
    <m/>
    <m/>
    <m/>
    <m/>
  </r>
  <r>
    <s v="117291"/>
    <s v="HorizonEcho Group"/>
    <d v="2023-06-12T00:00:00"/>
    <x v="2"/>
    <x v="0"/>
    <s v="78.901.234/0001-78"/>
    <s v="Entrada"/>
    <s v="MATERIAL B"/>
    <n v="3758"/>
    <s v="1+2"/>
    <d v="2023-06-13T00:00:00"/>
    <n v="1252.6666666666667"/>
    <d v="2023-07-12T00:00:00"/>
    <n v="1252.6666666666667"/>
    <d v="2023-07-27T00:00:00"/>
    <n v="1252.6666666666667"/>
    <m/>
    <m/>
  </r>
  <r>
    <s v="52463"/>
    <s v="StellarWave Technologies"/>
    <d v="2023-11-10T00:00:00"/>
    <x v="10"/>
    <x v="0"/>
    <s v="76.789.012/0001-34"/>
    <s v="Estornos"/>
    <s v="ENVIO INCORRETO"/>
    <n v="3093"/>
    <s v="A VISTA"/>
    <d v="2023-11-11T00:00:00"/>
    <n v="3093"/>
    <m/>
    <m/>
    <m/>
    <m/>
    <m/>
    <m/>
  </r>
  <r>
    <s v="123108"/>
    <s v="StellarFusion Corp."/>
    <d v="2023-08-20T00:00:00"/>
    <x v="7"/>
    <x v="0"/>
    <s v="01.234.567/0001-89"/>
    <s v="Saída"/>
    <s v="Pagamentos ADMs"/>
    <n v="-6874"/>
    <s v="1+2"/>
    <d v="2023-08-21T00:00:00"/>
    <n v="-2291.3333333333335"/>
    <d v="2023-09-19T00:00:00"/>
    <n v="-2291.3333333333335"/>
    <d v="2023-10-04T00:00:00"/>
    <n v="-2291.3333333333335"/>
    <m/>
    <m/>
  </r>
  <r>
    <s v="754310"/>
    <s v="QuantumStream Corp."/>
    <d v="2024-01-24T00:00:00"/>
    <x v="0"/>
    <x v="1"/>
    <s v="30.123.456/0001-12"/>
    <s v="Entrada"/>
    <s v="MATERIAL D"/>
    <n v="9167"/>
    <s v="1+1"/>
    <d v="2024-01-25T00:00:00"/>
    <n v="4583.5"/>
    <d v="2024-02-23T00:00:00"/>
    <n v="4583.5"/>
    <m/>
    <m/>
    <m/>
    <m/>
  </r>
  <r>
    <s v="7791167"/>
    <s v="FusionPeak Technologies"/>
    <d v="2023-12-24T00:00:00"/>
    <x v="9"/>
    <x v="0"/>
    <s v="67.890.123/0001-01"/>
    <s v="Entrada"/>
    <s v="MATERIAL D"/>
    <n v="9532"/>
    <s v="1+2"/>
    <d v="2023-12-25T00:00:00"/>
    <n v="3177.3333333333335"/>
    <d v="2024-01-23T00:00:00"/>
    <n v="3177.3333333333335"/>
    <d v="2024-02-07T00:00:00"/>
    <n v="3177.3333333333335"/>
    <m/>
    <m/>
  </r>
  <r>
    <s v="607644"/>
    <s v="ZenTech Solutions"/>
    <d v="2024-05-29T00:00:00"/>
    <x v="1"/>
    <x v="1"/>
    <s v="08.901.234/0001-78"/>
    <s v="Saída"/>
    <s v="Factoring Fee"/>
    <n v="-4103"/>
    <s v="A VISTA"/>
    <d v="2024-05-30T00:00:00"/>
    <n v="-4103"/>
    <m/>
    <m/>
    <m/>
    <m/>
    <m/>
    <m/>
  </r>
  <r>
    <s v="79105139"/>
    <s v="RadiantSky Labs"/>
    <d v="2024-03-03T00:00:00"/>
    <x v="8"/>
    <x v="1"/>
    <s v="33.456.789/0001-23"/>
    <s v="Estornos"/>
    <s v="EXTRAVIADO"/>
    <n v="3979"/>
    <s v="A VISTA"/>
    <d v="2024-03-04T00:00:00"/>
    <n v="3979"/>
    <m/>
    <m/>
    <m/>
    <m/>
    <m/>
    <m/>
  </r>
  <r>
    <s v="1839177"/>
    <s v="OmniGlobe Enterprises"/>
    <d v="2024-01-15T00:00:00"/>
    <x v="0"/>
    <x v="1"/>
    <s v="23.456.789/0001-23"/>
    <s v="Entrada"/>
    <s v="MATERIAL E"/>
    <n v="3454"/>
    <s v="1+3"/>
    <d v="2024-01-16T00:00:00"/>
    <n v="863.5"/>
    <d v="2024-02-14T00:00:00"/>
    <n v="863.5"/>
    <d v="2024-02-29T00:00:00"/>
    <n v="863.5"/>
    <d v="2024-03-15T00:00:00"/>
    <n v="863.5"/>
  </r>
  <r>
    <s v="1591129"/>
    <s v="InfinitySky Labs"/>
    <d v="2023-12-17T00:00:00"/>
    <x v="9"/>
    <x v="0"/>
    <s v="75.678.901/0001-67"/>
    <s v="Estornos"/>
    <s v="EXTRAVIADO"/>
    <n v="1846"/>
    <s v="A VISTA"/>
    <d v="2023-12-18T00:00:00"/>
    <n v="1846"/>
    <m/>
    <m/>
    <m/>
    <m/>
    <m/>
    <m/>
  </r>
  <r>
    <s v="4733141"/>
    <s v="NovaSphere Industries"/>
    <d v="2023-10-04T00:00:00"/>
    <x v="3"/>
    <x v="0"/>
    <s v="99.012.345/0001-45"/>
    <s v="Entrada"/>
    <s v="MATERIAL B"/>
    <n v="4464"/>
    <s v="A VISTA"/>
    <d v="2023-10-05T00:00:00"/>
    <n v="4464"/>
    <m/>
    <m/>
    <m/>
    <m/>
    <m/>
    <m/>
  </r>
  <r>
    <s v="354578"/>
    <s v="FusionEdge Systems"/>
    <d v="2023-11-08T00:00:00"/>
    <x v="10"/>
    <x v="0"/>
    <s v="87.890.123/0001-01"/>
    <s v="Saída"/>
    <s v="Factoring Fee"/>
    <n v="-4026"/>
    <s v="1+2"/>
    <d v="2023-11-09T00:00:00"/>
    <n v="-1342"/>
    <d v="2023-12-08T00:00:00"/>
    <n v="-1342"/>
    <d v="2023-12-23T00:00:00"/>
    <n v="-1342"/>
    <m/>
    <m/>
  </r>
  <r>
    <s v="60132167"/>
    <s v="TerraPeak Enterprises"/>
    <d v="2023-08-05T00:00:00"/>
    <x v="7"/>
    <x v="0"/>
    <s v="41.234.567/0001-89"/>
    <s v="Entrada"/>
    <s v="MATERIAL B"/>
    <n v="7675"/>
    <s v="1+2"/>
    <d v="2023-08-06T00:00:00"/>
    <n v="2558.3333333333335"/>
    <d v="2023-09-04T00:00:00"/>
    <n v="2558.3333333333335"/>
    <d v="2023-09-19T00:00:00"/>
    <n v="2558.3333333333335"/>
    <m/>
    <m/>
  </r>
  <r>
    <s v="9111424"/>
    <s v="RadiantVista Holdings"/>
    <d v="2023-07-16T00:00:00"/>
    <x v="6"/>
    <x v="0"/>
    <s v="20.123.456/0001-12"/>
    <s v="Entrada"/>
    <s v="MATERIAL B"/>
    <n v="1083"/>
    <s v="1+1"/>
    <d v="2023-07-17T00:00:00"/>
    <n v="541.5"/>
    <d v="2023-08-15T00:00:00"/>
    <n v="541.5"/>
    <m/>
    <m/>
    <m/>
    <m/>
  </r>
  <r>
    <s v="8510552"/>
    <s v="SilverPulse Ventures"/>
    <d v="2023-10-09T00:00:00"/>
    <x v="3"/>
    <x v="0"/>
    <s v="42.345.678/0001-56"/>
    <s v="Saída"/>
    <s v="Consultoria"/>
    <n v="-937"/>
    <s v="1+1"/>
    <d v="2023-10-10T00:00:00"/>
    <n v="-468.5"/>
    <d v="2023-11-08T00:00:00"/>
    <n v="-468.5"/>
    <m/>
    <m/>
    <m/>
    <m/>
  </r>
  <r>
    <s v="7346196"/>
    <s v="BrightWave Technologies"/>
    <d v="2024-04-03T00:00:00"/>
    <x v="11"/>
    <x v="1"/>
    <s v="52.345.678/0001-56"/>
    <s v="Entrada"/>
    <s v="MATERIAL A"/>
    <n v="5152"/>
    <s v="1+1"/>
    <d v="2024-04-04T00:00:00"/>
    <n v="2576"/>
    <d v="2024-05-03T00:00:00"/>
    <n v="2576"/>
    <m/>
    <m/>
    <m/>
    <m/>
  </r>
  <r>
    <s v="4068245"/>
    <s v="QuantumStream Corp."/>
    <d v="2023-09-25T00:00:00"/>
    <x v="5"/>
    <x v="0"/>
    <s v="30.123.456/0001-12"/>
    <s v="Entrada"/>
    <s v="MATERIAL D"/>
    <n v="1653"/>
    <s v="1+3"/>
    <d v="2023-09-26T00:00:00"/>
    <n v="413.25"/>
    <d v="2023-10-25T00:00:00"/>
    <n v="413.25"/>
    <d v="2023-11-09T00:00:00"/>
    <n v="413.25"/>
    <d v="2023-11-24T00:00:00"/>
    <n v="413.25"/>
  </r>
  <r>
    <s v="322103"/>
    <s v="BlueStone Networks"/>
    <d v="2024-07-28T00:00:00"/>
    <x v="6"/>
    <x v="1"/>
    <s v="53.456.789/0001-23"/>
    <s v="Entrada"/>
    <s v="MATERIAL C"/>
    <n v="1492"/>
    <s v="1+3"/>
    <d v="2024-07-29T00:00:00"/>
    <n v="373"/>
    <d v="2024-08-27T00:00:00"/>
    <n v="373"/>
    <d v="2024-09-11T00:00:00"/>
    <n v="373"/>
    <d v="2024-09-26T00:00:00"/>
    <n v="373"/>
  </r>
  <r>
    <s v="4512027"/>
    <s v="CyberLink Corporation"/>
    <d v="2023-05-07T00:00:00"/>
    <x v="1"/>
    <x v="0"/>
    <s v="21.234.567/0001-89"/>
    <s v="Saída"/>
    <s v="Consultoria"/>
    <n v="-1271"/>
    <s v="1+3"/>
    <d v="2023-05-08T00:00:00"/>
    <n v="-317.75"/>
    <d v="2023-06-06T00:00:00"/>
    <n v="-317.75"/>
    <d v="2023-06-21T00:00:00"/>
    <n v="-317.75"/>
    <d v="2023-07-06T00:00:00"/>
    <n v="-317.75"/>
  </r>
  <r>
    <s v="2497189"/>
    <s v="HorizonTech Solutions"/>
    <d v="2024-09-12T00:00:00"/>
    <x v="5"/>
    <x v="1"/>
    <s v="29.012.345/0001-45"/>
    <s v="Entrada"/>
    <s v="MATERIAL B"/>
    <n v="4805"/>
    <s v="1+2"/>
    <d v="2024-09-13T00:00:00"/>
    <n v="1601.6666666666667"/>
    <d v="2024-10-12T00:00:00"/>
    <n v="1601.6666666666667"/>
    <d v="2024-10-27T00:00:00"/>
    <n v="1601.6666666666667"/>
    <m/>
    <m/>
  </r>
  <r>
    <s v="939197"/>
    <s v="StellarCore Systems"/>
    <d v="2023-10-25T00:00:00"/>
    <x v="3"/>
    <x v="0"/>
    <s v="96.789.012/0001-34"/>
    <s v="Estornos"/>
    <s v="EXTRAVIADO"/>
    <n v="7493"/>
    <s v="A VISTA"/>
    <d v="2023-10-26T00:00:00"/>
    <n v="7493"/>
    <m/>
    <m/>
    <m/>
    <m/>
    <m/>
    <m/>
  </r>
  <r>
    <s v="8911711"/>
    <s v="InfinityPulse LLC"/>
    <d v="2024-02-03T00:00:00"/>
    <x v="4"/>
    <x v="1"/>
    <s v="11.234.567/0001-89"/>
    <s v="Entrada"/>
    <s v="MATERIAL C"/>
    <n v="7961"/>
    <s v="1+3"/>
    <d v="2024-02-04T00:00:00"/>
    <n v="1990.25"/>
    <d v="2024-03-04T00:00:00"/>
    <n v="1990.25"/>
    <d v="2024-03-19T00:00:00"/>
    <n v="1990.25"/>
    <d v="2024-04-03T00:00:00"/>
    <n v="1990.25"/>
  </r>
  <r>
    <s v="313851"/>
    <s v="ZenithStream Technologies"/>
    <d v="2023-10-03T00:00:00"/>
    <x v="3"/>
    <x v="0"/>
    <s v="77.890.123/0001-01"/>
    <s v="Saída"/>
    <s v="Impostos"/>
    <n v="-7983"/>
    <s v="1+3"/>
    <d v="2023-10-04T00:00:00"/>
    <n v="-1995.75"/>
    <d v="2023-11-02T00:00:00"/>
    <n v="-1995.75"/>
    <d v="2023-11-17T00:00:00"/>
    <n v="-1995.75"/>
    <d v="2023-12-02T00:00:00"/>
    <n v="-1995.75"/>
  </r>
  <r>
    <s v="497243"/>
    <s v="ApexSphere Enterprises"/>
    <d v="2024-01-03T00:00:00"/>
    <x v="0"/>
    <x v="1"/>
    <s v="65.678.901/0001-67"/>
    <s v="Entrada"/>
    <s v="MATERIAL E"/>
    <n v="1465"/>
    <s v="A VISTA"/>
    <d v="2024-01-04T00:00:00"/>
    <n v="1465"/>
    <m/>
    <m/>
    <m/>
    <m/>
    <m/>
    <m/>
  </r>
  <r>
    <s v="532165"/>
    <s v="CyberSphere Innovations"/>
    <d v="2024-05-03T00:00:00"/>
    <x v="1"/>
    <x v="1"/>
    <s v="63.456.789/0001-23"/>
    <s v="Saída"/>
    <s v="Consultoria"/>
    <n v="-8254"/>
    <s v="1+3"/>
    <d v="2024-05-04T00:00:00"/>
    <n v="-2063.5"/>
    <d v="2024-06-02T00:00:00"/>
    <n v="-2063.5"/>
    <d v="2024-06-17T00:00:00"/>
    <n v="-2063.5"/>
    <d v="2024-07-02T00:00:00"/>
    <n v="-2063.5"/>
  </r>
  <r>
    <s v="1759131"/>
    <s v="BrightWave Technologies"/>
    <d v="2023-12-12T00:00:00"/>
    <x v="9"/>
    <x v="0"/>
    <s v="52.345.678/0001-56"/>
    <s v="Entrada"/>
    <s v="MATERIAL A"/>
    <n v="1081"/>
    <s v="1+2"/>
    <d v="2023-12-13T00:00:00"/>
    <n v="360.33333333333331"/>
    <d v="2024-01-11T00:00:00"/>
    <n v="360.33333333333331"/>
    <d v="2024-01-26T00:00:00"/>
    <n v="360.33333333333331"/>
    <m/>
    <m/>
  </r>
  <r>
    <s v="35111149"/>
    <s v="FusionEdge Systems"/>
    <d v="2023-09-30T00:00:00"/>
    <x v="5"/>
    <x v="0"/>
    <s v="87.890.123/0001-01"/>
    <s v="Saída"/>
    <s v="Factoring Fee"/>
    <n v="-458"/>
    <s v="1+1"/>
    <d v="2023-10-01T00:00:00"/>
    <n v="-229"/>
    <d v="2023-10-30T00:00:00"/>
    <n v="-229"/>
    <m/>
    <m/>
    <m/>
    <m/>
  </r>
  <r>
    <s v="2028238"/>
    <s v="VertexSolar Power"/>
    <d v="2023-08-29T00:00:00"/>
    <x v="7"/>
    <x v="0"/>
    <s v="55.678.901/0001-67"/>
    <s v="Estornos"/>
    <s v="ENVIO INCORRETO"/>
    <n v="1482"/>
    <s v="A VISTA"/>
    <d v="2023-08-30T00:00:00"/>
    <n v="1482"/>
    <m/>
    <m/>
    <m/>
    <m/>
    <m/>
    <m/>
  </r>
  <r>
    <s v="8746206"/>
    <s v="StellarCore Systems"/>
    <d v="2024-07-25T00:00:00"/>
    <x v="6"/>
    <x v="1"/>
    <s v="96.789.012/0001-34"/>
    <s v="Estornos"/>
    <s v="EXTRAVIADO"/>
    <n v="2313"/>
    <s v="A VISTA"/>
    <d v="2024-07-26T00:00:00"/>
    <n v="2313"/>
    <m/>
    <m/>
    <m/>
    <m/>
    <m/>
    <m/>
  </r>
  <r>
    <s v="201011"/>
    <s v="CrimsonEdge Dynamics"/>
    <d v="2023-12-02T00:00:00"/>
    <x v="9"/>
    <x v="0"/>
    <s v="97.890.123/0001-01"/>
    <s v="Estornos"/>
    <s v="ENVIO INCORRETO"/>
    <n v="997"/>
    <s v="A VISTA"/>
    <d v="2023-12-03T00:00:00"/>
    <n v="997"/>
    <m/>
    <m/>
    <m/>
    <m/>
    <m/>
    <m/>
  </r>
  <r>
    <s v="74104229"/>
    <s v="StellarWave Technologies"/>
    <d v="2024-06-18T00:00:00"/>
    <x v="2"/>
    <x v="1"/>
    <s v="76.789.012/0001-34"/>
    <s v="Estornos"/>
    <s v="ENVIO INCORRETO"/>
    <n v="6409"/>
    <s v="A VISTA"/>
    <d v="2024-06-19T00:00:00"/>
    <n v="6409"/>
    <m/>
    <m/>
    <m/>
    <m/>
    <m/>
    <m/>
  </r>
  <r>
    <s v="39146219"/>
    <s v="RadiantSky Labs"/>
    <d v="2023-09-18T00:00:00"/>
    <x v="5"/>
    <x v="0"/>
    <s v="33.456.789/0001-23"/>
    <s v="Estornos"/>
    <s v="EXTRAVIADO"/>
    <n v="9435"/>
    <s v="A VISTA"/>
    <d v="2023-09-19T00:00:00"/>
    <n v="9435"/>
    <m/>
    <m/>
    <m/>
    <m/>
    <m/>
    <m/>
  </r>
  <r>
    <s v="2186128"/>
    <s v="StellarFusion Corp."/>
    <d v="2023-09-03T00:00:00"/>
    <x v="5"/>
    <x v="0"/>
    <s v="01.234.567/0001-89"/>
    <s v="Saída"/>
    <s v="Pagamentos ADMs"/>
    <n v="-9657"/>
    <s v="1+2"/>
    <d v="2023-09-04T00:00:00"/>
    <n v="-3219"/>
    <d v="2023-10-03T00:00:00"/>
    <n v="-3219"/>
    <d v="2023-10-18T00:00:00"/>
    <n v="-3219"/>
    <m/>
    <m/>
  </r>
  <r>
    <s v="468060"/>
    <s v="ElevatePulse LLC"/>
    <d v="2024-05-31T00:00:00"/>
    <x v="1"/>
    <x v="1"/>
    <s v="85.678.901/0001-67"/>
    <s v="Saída"/>
    <s v="Pagamentos ADMs"/>
    <n v="-2139"/>
    <s v="1+1"/>
    <d v="2024-06-01T00:00:00"/>
    <n v="-1069.5"/>
    <d v="2024-06-30T00:00:00"/>
    <n v="-1069.5"/>
    <m/>
    <m/>
    <m/>
    <m/>
  </r>
  <r>
    <s v="1910926"/>
    <s v="OmniGlobe Enterprises"/>
    <d v="2023-11-23T00:00:00"/>
    <x v="10"/>
    <x v="0"/>
    <s v="23.456.789/0001-23"/>
    <s v="Entrada"/>
    <s v="MATERIAL E"/>
    <n v="5262"/>
    <s v="A VISTA"/>
    <d v="2023-11-24T00:00:00"/>
    <n v="5262"/>
    <m/>
    <m/>
    <m/>
    <m/>
    <m/>
    <m/>
  </r>
  <r>
    <s v="1959104"/>
    <s v="FusionPeak Technologies"/>
    <d v="2023-12-13T00:00:00"/>
    <x v="9"/>
    <x v="0"/>
    <s v="67.890.123/0001-01"/>
    <s v="Entrada"/>
    <s v="MATERIAL D"/>
    <n v="7294"/>
    <s v="1+1"/>
    <d v="2023-12-14T00:00:00"/>
    <n v="3647"/>
    <d v="2024-01-12T00:00:00"/>
    <n v="3647"/>
    <m/>
    <m/>
    <m/>
    <m/>
  </r>
  <r>
    <s v="3877150"/>
    <s v="SilverPulse Ventures"/>
    <d v="2024-05-30T00:00:00"/>
    <x v="1"/>
    <x v="1"/>
    <s v="42.345.678/0001-56"/>
    <s v="Saída"/>
    <s v="Consultoria"/>
    <n v="-8906"/>
    <s v="1+1"/>
    <d v="2024-05-31T00:00:00"/>
    <n v="-4453"/>
    <d v="2024-06-29T00:00:00"/>
    <n v="-4453"/>
    <m/>
    <m/>
    <m/>
    <m/>
  </r>
  <r>
    <s v="6641123"/>
    <s v="VortexPeak Dynamics"/>
    <d v="2024-04-15T00:00:00"/>
    <x v="11"/>
    <x v="1"/>
    <s v="98.901.234/0001-78"/>
    <s v="Saída"/>
    <s v="Impostos"/>
    <n v="-3965"/>
    <s v="1+3"/>
    <d v="2024-04-16T00:00:00"/>
    <n v="-991.25"/>
    <d v="2024-05-15T00:00:00"/>
    <n v="-991.25"/>
    <d v="2024-05-30T00:00:00"/>
    <n v="-991.25"/>
    <d v="2024-06-14T00:00:00"/>
    <n v="-991.25"/>
  </r>
  <r>
    <s v="315539"/>
    <s v="StellarCore Systems"/>
    <d v="2024-01-18T00:00:00"/>
    <x v="0"/>
    <x v="1"/>
    <s v="96.789.012/0001-34"/>
    <s v="Estornos"/>
    <s v="EXTRAVIADO"/>
    <n v="7082"/>
    <s v="A VISTA"/>
    <d v="2024-01-19T00:00:00"/>
    <n v="7082"/>
    <m/>
    <m/>
    <m/>
    <m/>
    <m/>
    <m/>
  </r>
  <r>
    <s v="9131147"/>
    <s v="StellarCore Systems"/>
    <d v="2024-04-09T00:00:00"/>
    <x v="11"/>
    <x v="1"/>
    <s v="96.789.012/0001-34"/>
    <s v="Estornos"/>
    <s v="EXTRAVIADO"/>
    <n v="2490"/>
    <s v="A VISTA"/>
    <d v="2024-04-10T00:00:00"/>
    <n v="2490"/>
    <m/>
    <m/>
    <m/>
    <m/>
    <m/>
    <m/>
  </r>
  <r>
    <s v="7434236"/>
    <s v="StellarWave Technologies"/>
    <d v="2024-05-23T00:00:00"/>
    <x v="1"/>
    <x v="1"/>
    <s v="76.789.012/0001-34"/>
    <s v="Estornos"/>
    <s v="ENVIO INCORRETO"/>
    <n v="7198"/>
    <s v="A VISTA"/>
    <d v="2024-05-24T00:00:00"/>
    <n v="7198"/>
    <m/>
    <m/>
    <m/>
    <m/>
    <m/>
    <m/>
  </r>
  <r>
    <s v="3842155"/>
    <s v="StellarFusion Corp."/>
    <d v="2023-10-08T00:00:00"/>
    <x v="3"/>
    <x v="0"/>
    <s v="01.234.567/0001-89"/>
    <s v="Saída"/>
    <s v="Pagamentos ADMs"/>
    <n v="-9350"/>
    <s v="1+3"/>
    <d v="2023-10-09T00:00:00"/>
    <n v="-2337.5"/>
    <d v="2023-11-07T00:00:00"/>
    <n v="-2337.5"/>
    <d v="2023-11-22T00:00:00"/>
    <n v="-2337.5"/>
    <d v="2023-12-07T00:00:00"/>
    <n v="-2337.5"/>
  </r>
  <r>
    <s v="33136192"/>
    <s v="HorizonEcho Group"/>
    <d v="2023-09-23T00:00:00"/>
    <x v="5"/>
    <x v="0"/>
    <s v="78.901.234/0001-78"/>
    <s v="Entrada"/>
    <s v="MATERIAL B"/>
    <n v="7961"/>
    <s v="1+2"/>
    <d v="2023-09-24T00:00:00"/>
    <n v="2653.6666666666665"/>
    <d v="2023-10-23T00:00:00"/>
    <n v="2653.6666666666665"/>
    <d v="2023-11-07T00:00:00"/>
    <n v="2653.6666666666665"/>
    <m/>
    <m/>
  </r>
  <r>
    <s v="1310947"/>
    <s v="FusionEdge Systems"/>
    <d v="2023-10-14T00:00:00"/>
    <x v="3"/>
    <x v="0"/>
    <s v="87.890.123/0001-01"/>
    <s v="Saída"/>
    <s v="Factoring Fee"/>
    <n v="-2627"/>
    <s v="A VISTA"/>
    <d v="2023-10-15T00:00:00"/>
    <n v="-2627"/>
    <m/>
    <m/>
    <m/>
    <m/>
    <m/>
    <m/>
  </r>
  <r>
    <s v="6436221"/>
    <s v="ApexNexus Innovations"/>
    <d v="2023-08-15T00:00:00"/>
    <x v="7"/>
    <x v="0"/>
    <s v="34.567.890/0001-90"/>
    <s v="Estornos"/>
    <s v="ENVIO INCORRETO"/>
    <n v="7220"/>
    <s v="A VISTA"/>
    <d v="2023-08-16T00:00:00"/>
    <n v="7220"/>
    <m/>
    <m/>
    <m/>
    <m/>
    <m/>
    <m/>
  </r>
  <r>
    <s v="8517139"/>
    <s v="CrimsonCrest Dynamics"/>
    <d v="2023-10-05T00:00:00"/>
    <x v="3"/>
    <x v="0"/>
    <s v="66.789.012/0001-34"/>
    <s v="Saída"/>
    <s v="Factoring Fee"/>
    <n v="-9017"/>
    <s v="1+1"/>
    <d v="2023-10-06T00:00:00"/>
    <n v="-4508.5"/>
    <d v="2023-11-04T00:00:00"/>
    <n v="-4508.5"/>
    <m/>
    <m/>
    <m/>
    <m/>
  </r>
  <r>
    <s v="6977148"/>
    <s v="ElevateX Solutions"/>
    <d v="2024-01-28T00:00:00"/>
    <x v="0"/>
    <x v="1"/>
    <s v="43.456.789/0001-23"/>
    <s v="Saída"/>
    <s v="Pagamentos ADMs"/>
    <n v="-1543"/>
    <s v="1+3"/>
    <d v="2024-01-29T00:00:00"/>
    <n v="-385.75"/>
    <d v="2024-02-27T00:00:00"/>
    <n v="-385.75"/>
    <d v="2024-03-13T00:00:00"/>
    <n v="-385.75"/>
    <d v="2024-03-28T00:00:00"/>
    <n v="-385.75"/>
  </r>
  <r>
    <s v="8559110"/>
    <s v="HorizonEcho Group"/>
    <d v="2023-07-08T00:00:00"/>
    <x v="6"/>
    <x v="0"/>
    <s v="78.901.234/0001-78"/>
    <s v="Entrada"/>
    <s v="MATERIAL B"/>
    <n v="6512"/>
    <s v="A VISTA"/>
    <d v="2023-07-09T00:00:00"/>
    <n v="6512"/>
    <m/>
    <m/>
    <m/>
    <m/>
    <m/>
    <m/>
  </r>
  <r>
    <s v="83149247"/>
    <s v="FusionPeak Technologies"/>
    <d v="2023-12-16T00:00:00"/>
    <x v="9"/>
    <x v="0"/>
    <s v="67.890.123/0001-01"/>
    <s v="Entrada"/>
    <s v="MATERIAL D"/>
    <n v="6491"/>
    <s v="1+2"/>
    <d v="2023-12-17T00:00:00"/>
    <n v="2163.6666666666665"/>
    <d v="2024-01-15T00:00:00"/>
    <n v="2163.6666666666665"/>
    <d v="2024-01-30T00:00:00"/>
    <n v="2163.6666666666665"/>
    <m/>
    <m/>
  </r>
  <r>
    <s v="95138144"/>
    <s v="LuminaCore Systems"/>
    <d v="2023-05-17T00:00:00"/>
    <x v="1"/>
    <x v="0"/>
    <s v="90.123.456/0001-12"/>
    <s v="Saída"/>
    <s v="Consultoria"/>
    <n v="-9466"/>
    <s v="1+2"/>
    <d v="2023-05-18T00:00:00"/>
    <n v="-3155.3333333333335"/>
    <d v="2023-06-16T00:00:00"/>
    <n v="-3155.3333333333335"/>
    <d v="2023-07-01T00:00:00"/>
    <n v="-3155.3333333333335"/>
    <m/>
    <m/>
  </r>
  <r>
    <s v="9092126"/>
    <s v="CrimsonEdge Dynamics"/>
    <d v="2024-05-17T00:00:00"/>
    <x v="1"/>
    <x v="1"/>
    <s v="97.890.123/0001-01"/>
    <s v="Estornos"/>
    <s v="ENVIO INCORRETO"/>
    <n v="8631"/>
    <s v="A VISTA"/>
    <d v="2024-05-18T00:00:00"/>
    <n v="8631"/>
    <m/>
    <m/>
    <m/>
    <m/>
    <m/>
    <m/>
  </r>
  <r>
    <s v="6849113"/>
    <s v="ZenithStream Technologies"/>
    <d v="2023-08-23T00:00:00"/>
    <x v="7"/>
    <x v="0"/>
    <s v="77.890.123/0001-01"/>
    <s v="Saída"/>
    <s v="Impostos"/>
    <n v="-2326"/>
    <s v="1+1"/>
    <d v="2023-08-24T00:00:00"/>
    <n v="-1163"/>
    <d v="2023-09-22T00:00:00"/>
    <n v="-1163"/>
    <m/>
    <m/>
    <m/>
    <m/>
  </r>
  <r>
    <s v="16489"/>
    <s v="SilverPulse Ventures"/>
    <d v="2024-05-15T00:00:00"/>
    <x v="1"/>
    <x v="1"/>
    <s v="42.345.678/0001-56"/>
    <s v="Saída"/>
    <s v="Consultoria"/>
    <n v="-1400"/>
    <s v="1+3"/>
    <d v="2024-05-16T00:00:00"/>
    <n v="-350"/>
    <d v="2024-06-14T00:00:00"/>
    <n v="-350"/>
    <d v="2024-06-29T00:00:00"/>
    <n v="-350"/>
    <d v="2024-07-14T00:00:00"/>
    <n v="-350"/>
  </r>
  <r>
    <s v="8213553"/>
    <s v="QuantumWave Industries"/>
    <d v="2024-07-04T00:00:00"/>
    <x v="6"/>
    <x v="1"/>
    <s v="12.345.678/0001-56"/>
    <s v="Estornos"/>
    <s v="EXTRAVIADO"/>
    <n v="4303"/>
    <s v="A VISTA"/>
    <d v="2024-07-05T00:00:00"/>
    <n v="4303"/>
    <m/>
    <m/>
    <m/>
    <m/>
    <m/>
    <m/>
  </r>
  <r>
    <s v="67538"/>
    <s v="VortexLeaf Dynamics"/>
    <d v="2023-10-05T00:00:00"/>
    <x v="3"/>
    <x v="0"/>
    <s v="18.901.234/0001-78"/>
    <s v="Entrada"/>
    <s v="MATERIAL D"/>
    <n v="2355"/>
    <s v="A VISTA"/>
    <d v="2023-10-06T00:00:00"/>
    <n v="2355"/>
    <m/>
    <m/>
    <m/>
    <m/>
    <m/>
    <m/>
  </r>
  <r>
    <s v="1918114"/>
    <s v="CrimsonEdge Dynamics"/>
    <d v="2023-11-25T00:00:00"/>
    <x v="10"/>
    <x v="0"/>
    <s v="97.890.123/0001-01"/>
    <s v="Estornos"/>
    <s v="ENVIO INCORRETO"/>
    <n v="701"/>
    <s v="A VISTA"/>
    <d v="2023-11-26T00:00:00"/>
    <n v="701"/>
    <m/>
    <m/>
    <m/>
    <m/>
    <m/>
    <m/>
  </r>
  <r>
    <s v="7697221"/>
    <s v="CyberLink Corporation"/>
    <d v="2023-08-15T00:00:00"/>
    <x v="7"/>
    <x v="0"/>
    <s v="21.234.567/0001-89"/>
    <s v="Saída"/>
    <s v="Consultoria"/>
    <n v="-950"/>
    <s v="1+1"/>
    <d v="2023-08-16T00:00:00"/>
    <n v="-475"/>
    <d v="2023-09-14T00:00:00"/>
    <n v="-475"/>
    <m/>
    <m/>
    <m/>
    <m/>
  </r>
  <r>
    <s v="1179228"/>
    <s v="CyberSphere Innovations"/>
    <d v="2024-01-11T00:00:00"/>
    <x v="0"/>
    <x v="1"/>
    <s v="63.456.789/0001-23"/>
    <s v="Saída"/>
    <s v="Consultoria"/>
    <n v="-2406"/>
    <s v="A VISTA"/>
    <d v="2024-01-12T00:00:00"/>
    <n v="-2406"/>
    <m/>
    <m/>
    <m/>
    <m/>
    <m/>
    <m/>
  </r>
  <r>
    <s v="286133"/>
    <s v="NovaSphere Industries"/>
    <d v="2023-12-08T00:00:00"/>
    <x v="9"/>
    <x v="0"/>
    <s v="99.012.345/0001-45"/>
    <s v="Entrada"/>
    <s v="MATERIAL B"/>
    <n v="5721"/>
    <s v="1+3"/>
    <d v="2023-12-09T00:00:00"/>
    <n v="1430.25"/>
    <d v="2024-01-07T00:00:00"/>
    <n v="1430.25"/>
    <d v="2024-01-22T00:00:00"/>
    <n v="1430.25"/>
    <d v="2024-02-06T00:00:00"/>
    <n v="1430.25"/>
  </r>
  <r>
    <s v="8652244"/>
    <s v="LuminaWave Innovations"/>
    <d v="2023-12-10T00:00:00"/>
    <x v="9"/>
    <x v="0"/>
    <s v="31.234.567/0001-89"/>
    <s v="Entrada"/>
    <s v="MATERIAL A"/>
    <n v="9351"/>
    <s v="1+2"/>
    <d v="2023-12-11T00:00:00"/>
    <n v="3117"/>
    <d v="2024-01-09T00:00:00"/>
    <n v="3117"/>
    <d v="2024-01-24T00:00:00"/>
    <n v="3117"/>
    <m/>
    <m/>
  </r>
  <r>
    <s v="5781198"/>
    <s v="ApexSphere Enterprises"/>
    <d v="2024-04-11T00:00:00"/>
    <x v="11"/>
    <x v="1"/>
    <s v="65.678.901/0001-67"/>
    <s v="Entrada"/>
    <s v="MATERIAL E"/>
    <n v="8439"/>
    <s v="1+2"/>
    <d v="2024-04-12T00:00:00"/>
    <n v="2813"/>
    <d v="2024-05-11T00:00:00"/>
    <n v="2813"/>
    <d v="2024-05-26T00:00:00"/>
    <n v="2813"/>
    <m/>
    <m/>
  </r>
  <r>
    <s v="645775"/>
    <s v="AeroMatrix Solutions"/>
    <d v="2023-04-22T00:00:00"/>
    <x v="11"/>
    <x v="0"/>
    <s v="88.901.234/0001-78"/>
    <s v="Entrada"/>
    <s v="MATERIAL D"/>
    <n v="7019"/>
    <s v="1+2"/>
    <d v="2023-04-23T00:00:00"/>
    <n v="2339.6666666666665"/>
    <d v="2023-05-22T00:00:00"/>
    <n v="2339.6666666666665"/>
    <d v="2023-06-06T00:00:00"/>
    <n v="2339.6666666666665"/>
    <m/>
    <m/>
  </r>
  <r>
    <s v="7842125"/>
    <s v="RadiantVista Holdings"/>
    <d v="2023-08-17T00:00:00"/>
    <x v="7"/>
    <x v="0"/>
    <s v="20.123.456/0001-12"/>
    <s v="Entrada"/>
    <s v="MATERIAL B"/>
    <n v="8047"/>
    <s v="1+3"/>
    <d v="2023-08-18T00:00:00"/>
    <n v="2011.75"/>
    <d v="2023-09-16T00:00:00"/>
    <n v="2011.75"/>
    <d v="2023-10-01T00:00:00"/>
    <n v="2011.75"/>
    <d v="2023-10-16T00:00:00"/>
    <n v="2011.75"/>
  </r>
  <r>
    <s v="2519139"/>
    <s v="OmniCore Systems"/>
    <d v="2023-09-04T00:00:00"/>
    <x v="5"/>
    <x v="0"/>
    <s v="64.567.890/0001-90"/>
    <s v="Saída"/>
    <s v="Pagamentos ADMs"/>
    <n v="-9568"/>
    <s v="1+2"/>
    <d v="2023-09-05T00:00:00"/>
    <n v="-3189.3333333333335"/>
    <d v="2023-10-04T00:00:00"/>
    <n v="-3189.3333333333335"/>
    <d v="2023-10-19T00:00:00"/>
    <n v="-3189.3333333333335"/>
    <m/>
    <m/>
  </r>
  <r>
    <s v="2913460"/>
    <s v="BlueWave Networks"/>
    <d v="2023-10-11T00:00:00"/>
    <x v="3"/>
    <x v="0"/>
    <s v="22.345.678/0001-56"/>
    <s v="Saída"/>
    <s v="Pagamentos ADMs"/>
    <n v="-4355"/>
    <s v="1+2"/>
    <d v="2023-10-12T00:00:00"/>
    <n v="-1451.6666666666667"/>
    <d v="2023-11-10T00:00:00"/>
    <n v="-1451.6666666666667"/>
    <d v="2023-11-25T00:00:00"/>
    <n v="-1451.6666666666667"/>
    <m/>
    <m/>
  </r>
  <r>
    <s v="186221"/>
    <s v="TerraPeak Enterprises"/>
    <d v="2023-11-08T00:00:00"/>
    <x v="10"/>
    <x v="0"/>
    <s v="41.234.567/0001-89"/>
    <s v="Entrada"/>
    <s v="MATERIAL B"/>
    <n v="9168"/>
    <s v="1+2"/>
    <d v="2023-11-09T00:00:00"/>
    <n v="3056"/>
    <d v="2023-12-08T00:00:00"/>
    <n v="3056"/>
    <d v="2023-12-23T00:00:00"/>
    <n v="3056"/>
    <m/>
    <m/>
  </r>
  <r>
    <s v="9114220"/>
    <s v="BrightWave Technologies"/>
    <d v="2024-05-09T00:00:00"/>
    <x v="1"/>
    <x v="1"/>
    <s v="52.345.678/0001-56"/>
    <s v="Entrada"/>
    <s v="MATERIAL A"/>
    <n v="1151"/>
    <s v="1+1"/>
    <d v="2024-05-10T00:00:00"/>
    <n v="575.5"/>
    <d v="2024-06-08T00:00:00"/>
    <n v="575.5"/>
    <m/>
    <m/>
    <m/>
    <m/>
  </r>
  <r>
    <s v="7946185"/>
    <s v="InfinitySky Labs"/>
    <d v="2024-09-01T00:00:00"/>
    <x v="5"/>
    <x v="1"/>
    <s v="75.678.901/0001-67"/>
    <s v="Estornos"/>
    <s v="EXTRAVIADO"/>
    <n v="9981"/>
    <s v="A VISTA"/>
    <d v="2024-09-02T00:00:00"/>
    <n v="9981"/>
    <m/>
    <m/>
    <m/>
    <m/>
    <m/>
    <m/>
  </r>
  <r>
    <s v="644186"/>
    <s v="HorizonEcho Group"/>
    <d v="2023-08-05T00:00:00"/>
    <x v="7"/>
    <x v="0"/>
    <s v="78.901.234/0001-78"/>
    <s v="Entrada"/>
    <s v="MATERIAL B"/>
    <n v="6993"/>
    <s v="1+3"/>
    <d v="2023-08-06T00:00:00"/>
    <n v="1748.25"/>
    <d v="2023-09-04T00:00:00"/>
    <n v="1748.25"/>
    <d v="2023-09-19T00:00:00"/>
    <n v="1748.25"/>
    <d v="2023-10-04T00:00:00"/>
    <n v="1748.25"/>
  </r>
  <r>
    <s v="185791"/>
    <s v="BrightLeaf Innovations"/>
    <d v="2024-01-23T00:00:00"/>
    <x v="0"/>
    <x v="1"/>
    <s v="10.123.456/0001-12"/>
    <s v="Entrada"/>
    <s v="MATERIAL A"/>
    <n v="9724"/>
    <s v="1+3"/>
    <d v="2024-01-24T00:00:00"/>
    <n v="2431"/>
    <d v="2024-02-22T00:00:00"/>
    <n v="2431"/>
    <d v="2024-03-08T00:00:00"/>
    <n v="2431"/>
    <d v="2024-03-23T00:00:00"/>
    <n v="2431"/>
  </r>
  <r>
    <s v="32283"/>
    <s v="BrightLeaf Innovations"/>
    <d v="2024-02-20T00:00:00"/>
    <x v="4"/>
    <x v="1"/>
    <s v="10.123.456/0001-12"/>
    <s v="Entrada"/>
    <s v="MATERIAL A"/>
    <n v="9125"/>
    <s v="1+1"/>
    <d v="2024-02-21T00:00:00"/>
    <n v="4562.5"/>
    <d v="2024-03-21T00:00:00"/>
    <n v="4562.5"/>
    <m/>
    <m/>
    <m/>
    <m/>
  </r>
  <r>
    <s v="171413"/>
    <s v="ApexSphere Enterprises"/>
    <d v="2024-02-06T00:00:00"/>
    <x v="4"/>
    <x v="1"/>
    <s v="65.678.901/0001-67"/>
    <s v="Entrada"/>
    <s v="MATERIAL E"/>
    <n v="4627"/>
    <s v="1+1"/>
    <d v="2024-02-07T00:00:00"/>
    <n v="2313.5"/>
    <d v="2024-03-07T00:00:00"/>
    <n v="2313.5"/>
    <m/>
    <m/>
    <m/>
    <m/>
  </r>
  <r>
    <s v="9488162"/>
    <s v="QuantumEcho Labs"/>
    <d v="2023-08-06T00:00:00"/>
    <x v="7"/>
    <x v="0"/>
    <s v="74.567.890/0001-90"/>
    <s v="Entrada"/>
    <s v="MATERIAL C"/>
    <n v="7757"/>
    <s v="1+2"/>
    <d v="2023-08-07T00:00:00"/>
    <n v="2585.6666666666665"/>
    <d v="2023-09-05T00:00:00"/>
    <n v="2585.6666666666665"/>
    <d v="2023-09-20T00:00:00"/>
    <n v="2585.6666666666665"/>
    <m/>
    <m/>
  </r>
  <r>
    <s v="43112157"/>
    <s v="AeroMatrix Solutions"/>
    <d v="2023-11-16T00:00:00"/>
    <x v="10"/>
    <x v="0"/>
    <s v="88.901.234/0001-78"/>
    <s v="Entrada"/>
    <s v="MATERIAL D"/>
    <n v="8321"/>
    <s v="A VISTA"/>
    <d v="2023-11-17T00:00:00"/>
    <n v="8321"/>
    <m/>
    <m/>
    <m/>
    <m/>
    <m/>
    <m/>
  </r>
  <r>
    <s v="5034129"/>
    <s v="CrimsonEdge Dynamics"/>
    <d v="2023-10-04T00:00:00"/>
    <x v="3"/>
    <x v="0"/>
    <s v="97.890.123/0001-01"/>
    <s v="Estornos"/>
    <s v="ENVIO INCORRETO"/>
    <n v="6861"/>
    <s v="A VISTA"/>
    <d v="2023-10-05T00:00:00"/>
    <n v="6861"/>
    <m/>
    <m/>
    <m/>
    <m/>
    <m/>
    <m/>
  </r>
  <r>
    <s v="1121121"/>
    <s v="RadiantVista Holdings"/>
    <d v="2024-03-07T00:00:00"/>
    <x v="8"/>
    <x v="1"/>
    <s v="20.123.456/0001-12"/>
    <s v="Entrada"/>
    <s v="MATERIAL B"/>
    <n v="1217"/>
    <s v="1+1"/>
    <d v="2024-03-08T00:00:00"/>
    <n v="608.5"/>
    <d v="2024-04-06T00:00:00"/>
    <n v="608.5"/>
    <m/>
    <m/>
    <m/>
    <m/>
  </r>
  <r>
    <s v="8147182"/>
    <s v="StellarWave Technologies"/>
    <d v="2024-08-17T00:00:00"/>
    <x v="7"/>
    <x v="1"/>
    <s v="76.789.012/0001-34"/>
    <s v="Estornos"/>
    <s v="ENVIO INCORRETO"/>
    <n v="8766"/>
    <s v="A VISTA"/>
    <d v="2024-08-18T00:00:00"/>
    <n v="8766"/>
    <m/>
    <m/>
    <m/>
    <m/>
    <m/>
    <m/>
  </r>
  <r>
    <s v="2113917"/>
    <s v="LuminaCore Systems"/>
    <d v="2023-11-10T00:00:00"/>
    <x v="10"/>
    <x v="0"/>
    <s v="90.123.456/0001-12"/>
    <s v="Saída"/>
    <s v="Consultoria"/>
    <n v="-7302"/>
    <s v="A VISTA"/>
    <d v="2023-11-11T00:00:00"/>
    <n v="-7302"/>
    <m/>
    <m/>
    <m/>
    <m/>
    <m/>
    <m/>
  </r>
  <r>
    <s v="9170233"/>
    <s v="QuantumStream Corp."/>
    <d v="2024-05-13T00:00:00"/>
    <x v="1"/>
    <x v="1"/>
    <s v="30.123.456/0001-12"/>
    <s v="Entrada"/>
    <s v="MATERIAL D"/>
    <n v="3741"/>
    <s v="1+2"/>
    <d v="2024-05-14T00:00:00"/>
    <n v="1247"/>
    <d v="2024-06-12T00:00:00"/>
    <n v="1247"/>
    <d v="2024-06-27T00:00:00"/>
    <n v="1247"/>
    <m/>
    <m/>
  </r>
  <r>
    <s v="982798"/>
    <s v="StellarWave Technologies"/>
    <d v="2023-08-21T00:00:00"/>
    <x v="7"/>
    <x v="0"/>
    <s v="76.789.012/0001-34"/>
    <s v="Estornos"/>
    <s v="ENVIO INCORRETO"/>
    <n v="1542"/>
    <s v="A VISTA"/>
    <d v="2023-08-22T00:00:00"/>
    <n v="1542"/>
    <m/>
    <m/>
    <m/>
    <m/>
    <m/>
    <m/>
  </r>
  <r>
    <s v="88147120"/>
    <s v="TerraFusion Industries"/>
    <d v="2024-06-03T00:00:00"/>
    <x v="2"/>
    <x v="1"/>
    <s v="54.567.890/0001-90"/>
    <s v="Estornos"/>
    <s v="EXTRAVIADO"/>
    <n v="6146"/>
    <s v="A VISTA"/>
    <d v="2024-06-04T00:00:00"/>
    <n v="6146"/>
    <m/>
    <m/>
    <m/>
    <m/>
    <m/>
    <m/>
  </r>
  <r>
    <s v="6754168"/>
    <s v="StellarWave Technologies"/>
    <d v="2024-04-19T00:00:00"/>
    <x v="11"/>
    <x v="1"/>
    <s v="76.789.012/0001-34"/>
    <s v="Estornos"/>
    <s v="ENVIO INCORRETO"/>
    <n v="6042"/>
    <s v="A VISTA"/>
    <d v="2024-04-20T00:00:00"/>
    <n v="6042"/>
    <m/>
    <m/>
    <m/>
    <m/>
    <m/>
    <m/>
  </r>
  <r>
    <s v="97121196"/>
    <s v="HorizonNexus Corp."/>
    <d v="2024-07-14T00:00:00"/>
    <x v="6"/>
    <x v="1"/>
    <s v="09.012.345/0001-45"/>
    <s v="Entrada"/>
    <s v="MATERIAL D"/>
    <n v="9714"/>
    <s v="1+1"/>
    <d v="2024-07-15T00:00:00"/>
    <n v="4857"/>
    <d v="2024-08-13T00:00:00"/>
    <n v="4857"/>
    <m/>
    <m/>
    <m/>
    <m/>
  </r>
  <r>
    <s v="91788"/>
    <s v="FusionPeak Technologies"/>
    <d v="2024-02-21T00:00:00"/>
    <x v="4"/>
    <x v="1"/>
    <s v="67.890.123/0001-01"/>
    <s v="Entrada"/>
    <s v="MATERIAL D"/>
    <n v="7330"/>
    <s v="1+3"/>
    <d v="2024-02-22T00:00:00"/>
    <n v="1832.5"/>
    <d v="2024-03-22T00:00:00"/>
    <n v="1832.5"/>
    <d v="2024-04-06T00:00:00"/>
    <n v="1832.5"/>
    <d v="2024-04-21T00:00:00"/>
    <n v="1832.5"/>
  </r>
  <r>
    <s v="9822152"/>
    <s v="AeroMatrix Solutions"/>
    <d v="2024-04-09T00:00:00"/>
    <x v="11"/>
    <x v="1"/>
    <s v="88.901.234/0001-78"/>
    <s v="Entrada"/>
    <s v="MATERIAL D"/>
    <n v="1691"/>
    <s v="A VISTA"/>
    <d v="2024-04-10T00:00:00"/>
    <n v="1691"/>
    <m/>
    <m/>
    <m/>
    <m/>
    <m/>
    <m/>
  </r>
  <r>
    <s v="132220"/>
    <s v="LuminaCore Systems"/>
    <d v="2023-06-05T00:00:00"/>
    <x v="2"/>
    <x v="0"/>
    <s v="90.123.456/0001-12"/>
    <s v="Saída"/>
    <s v="Consultoria"/>
    <n v="-5737"/>
    <s v="1+1"/>
    <d v="2023-06-06T00:00:00"/>
    <n v="-2868.5"/>
    <d v="2023-07-05T00:00:00"/>
    <n v="-2868.5"/>
    <m/>
    <m/>
    <m/>
    <m/>
  </r>
  <r>
    <s v="8588203"/>
    <s v="QuantumStream Corp."/>
    <d v="2023-08-21T00:00:00"/>
    <x v="7"/>
    <x v="0"/>
    <s v="30.123.456/0001-12"/>
    <s v="Entrada"/>
    <s v="MATERIAL D"/>
    <n v="7363"/>
    <s v="1+2"/>
    <d v="2023-08-22T00:00:00"/>
    <n v="2454.3333333333335"/>
    <d v="2023-09-20T00:00:00"/>
    <n v="2454.3333333333335"/>
    <d v="2023-10-05T00:00:00"/>
    <n v="2454.3333333333335"/>
    <m/>
    <m/>
  </r>
  <r>
    <s v="5538165"/>
    <s v="HorizonTech Solutions"/>
    <d v="2023-07-28T00:00:00"/>
    <x v="6"/>
    <x v="0"/>
    <s v="29.012.345/0001-45"/>
    <s v="Entrada"/>
    <s v="MATERIAL B"/>
    <n v="9467"/>
    <s v="A VISTA"/>
    <d v="2023-07-29T00:00:00"/>
    <n v="9467"/>
    <m/>
    <m/>
    <m/>
    <m/>
    <m/>
    <m/>
  </r>
  <r>
    <s v="7825163"/>
    <s v="TerraFusion Industries"/>
    <d v="2023-09-14T00:00:00"/>
    <x v="5"/>
    <x v="0"/>
    <s v="54.567.890/0001-90"/>
    <s v="Estornos"/>
    <s v="EXTRAVIADO"/>
    <n v="5854"/>
    <s v="A VISTA"/>
    <d v="2023-09-15T00:00:00"/>
    <n v="5854"/>
    <m/>
    <m/>
    <m/>
    <m/>
    <m/>
    <m/>
  </r>
  <r>
    <s v="69105126"/>
    <s v="AeroVista Holdings"/>
    <d v="2024-08-02T00:00:00"/>
    <x v="7"/>
    <x v="1"/>
    <s v="19.012.345/0001-45"/>
    <s v="Saída"/>
    <s v="Impostos"/>
    <n v="-3772"/>
    <s v="A VISTA"/>
    <d v="2024-08-03T00:00:00"/>
    <n v="-3772"/>
    <m/>
    <m/>
    <m/>
    <m/>
    <m/>
    <m/>
  </r>
  <r>
    <s v="7497194"/>
    <s v="InfinityPulse LLC"/>
    <d v="2023-10-20T00:00:00"/>
    <x v="3"/>
    <x v="0"/>
    <s v="11.234.567/0001-89"/>
    <s v="Entrada"/>
    <s v="MATERIAL C"/>
    <n v="7231"/>
    <s v="A VISTA"/>
    <d v="2023-10-21T00:00:00"/>
    <n v="7231"/>
    <m/>
    <m/>
    <m/>
    <m/>
    <m/>
    <m/>
  </r>
  <r>
    <s v="61577"/>
    <s v="ZenithStream Technologies"/>
    <d v="2023-08-19T00:00:00"/>
    <x v="7"/>
    <x v="0"/>
    <s v="77.890.123/0001-01"/>
    <s v="Saída"/>
    <s v="Impostos"/>
    <n v="-2181"/>
    <s v="A VISTA"/>
    <d v="2023-08-20T00:00:00"/>
    <n v="-2181"/>
    <m/>
    <m/>
    <m/>
    <m/>
    <m/>
    <m/>
  </r>
  <r>
    <s v="4698238"/>
    <s v="CyberSphere Innovations"/>
    <d v="2023-05-31T00:00:00"/>
    <x v="1"/>
    <x v="0"/>
    <s v="63.456.789/0001-23"/>
    <s v="Saída"/>
    <s v="Consultoria"/>
    <n v="-8843"/>
    <s v="A VISTA"/>
    <d v="2023-06-01T00:00:00"/>
    <n v="-8843"/>
    <m/>
    <m/>
    <m/>
    <m/>
    <m/>
    <m/>
  </r>
  <r>
    <s v="3066161"/>
    <s v="AeroVista Holdings"/>
    <d v="2023-12-31T00:00:00"/>
    <x v="9"/>
    <x v="0"/>
    <s v="19.012.345/0001-45"/>
    <s v="Saída"/>
    <s v="Impostos"/>
    <n v="-8809"/>
    <s v="A VISTA"/>
    <d v="2024-01-01T00:00:00"/>
    <n v="-8809"/>
    <m/>
    <m/>
    <m/>
    <m/>
    <m/>
    <m/>
  </r>
  <r>
    <s v="713027"/>
    <s v="CrimsonEdge Dynamics"/>
    <d v="2024-03-03T00:00:00"/>
    <x v="8"/>
    <x v="1"/>
    <s v="97.890.123/0001-01"/>
    <s v="Estornos"/>
    <s v="ENVIO INCORRETO"/>
    <n v="2890"/>
    <s v="A VISTA"/>
    <d v="2024-03-04T00:00:00"/>
    <n v="2890"/>
    <m/>
    <m/>
    <m/>
    <m/>
    <m/>
    <m/>
  </r>
  <r>
    <s v="18191"/>
    <s v="QuantumEcho Labs"/>
    <d v="2023-10-22T00:00:00"/>
    <x v="3"/>
    <x v="0"/>
    <s v="74.567.890/0001-90"/>
    <s v="Entrada"/>
    <s v="MATERIAL C"/>
    <n v="3001"/>
    <s v="1+1"/>
    <d v="2023-10-23T00:00:00"/>
    <n v="1500.5"/>
    <d v="2023-11-21T00:00:00"/>
    <n v="1500.5"/>
    <m/>
    <m/>
    <m/>
    <m/>
  </r>
  <r>
    <s v="93136207"/>
    <s v="VortexLeaf Dynamics"/>
    <d v="2024-04-21T00:00:00"/>
    <x v="11"/>
    <x v="1"/>
    <s v="18.901.234/0001-78"/>
    <s v="Entrada"/>
    <s v="MATERIAL D"/>
    <n v="3567"/>
    <s v="1+2"/>
    <d v="2024-04-22T00:00:00"/>
    <n v="1189"/>
    <d v="2024-05-21T00:00:00"/>
    <n v="1189"/>
    <d v="2024-06-05T00:00:00"/>
    <n v="1189"/>
    <m/>
    <m/>
  </r>
  <r>
    <s v="1667195"/>
    <s v="CyberLink Corporation"/>
    <d v="2023-10-17T00:00:00"/>
    <x v="3"/>
    <x v="0"/>
    <s v="21.234.567/0001-89"/>
    <s v="Saída"/>
    <s v="Consultoria"/>
    <n v="-4135"/>
    <s v="1+2"/>
    <d v="2023-10-18T00:00:00"/>
    <n v="-1378.3333333333333"/>
    <d v="2023-11-16T00:00:00"/>
    <n v="-1378.3333333333333"/>
    <d v="2023-12-01T00:00:00"/>
    <n v="-1378.3333333333333"/>
    <m/>
    <m/>
  </r>
  <r>
    <s v="226152"/>
    <s v="LuminaWave Innovations"/>
    <d v="2023-09-22T00:00:00"/>
    <x v="5"/>
    <x v="0"/>
    <s v="31.234.567/0001-89"/>
    <s v="Entrada"/>
    <s v="MATERIAL A"/>
    <n v="3088"/>
    <s v="1+3"/>
    <d v="2023-09-23T00:00:00"/>
    <n v="772"/>
    <d v="2023-10-22T00:00:00"/>
    <n v="772"/>
    <d v="2023-11-06T00:00:00"/>
    <n v="772"/>
    <d v="2023-11-21T00:00:00"/>
    <n v="772"/>
  </r>
  <r>
    <s v="6913013"/>
    <s v="InfinityPulse LLC"/>
    <d v="2023-10-09T00:00:00"/>
    <x v="3"/>
    <x v="0"/>
    <s v="11.234.567/0001-89"/>
    <s v="Entrada"/>
    <s v="MATERIAL C"/>
    <n v="5049"/>
    <s v="1+3"/>
    <d v="2023-10-10T00:00:00"/>
    <n v="1262.25"/>
    <d v="2023-11-08T00:00:00"/>
    <n v="1262.25"/>
    <d v="2023-11-23T00:00:00"/>
    <n v="1262.25"/>
    <d v="2023-12-08T00:00:00"/>
    <n v="1262.25"/>
  </r>
  <r>
    <s v="20120141"/>
    <s v="InfinityPulse LLC"/>
    <d v="2024-02-02T00:00:00"/>
    <x v="4"/>
    <x v="1"/>
    <s v="11.234.567/0001-89"/>
    <s v="Entrada"/>
    <s v="MATERIAL C"/>
    <n v="5827"/>
    <s v="1+2"/>
    <d v="2024-02-03T00:00:00"/>
    <n v="1942.3333333333333"/>
    <d v="2024-03-03T00:00:00"/>
    <n v="1942.3333333333333"/>
    <d v="2024-03-18T00:00:00"/>
    <n v="1942.3333333333333"/>
    <m/>
    <m/>
  </r>
  <r>
    <s v="564130"/>
    <s v="OmniGlobe Enterprises"/>
    <d v="2024-07-29T00:00:00"/>
    <x v="6"/>
    <x v="1"/>
    <s v="23.456.789/0001-23"/>
    <s v="Entrada"/>
    <s v="MATERIAL E"/>
    <n v="2016"/>
    <s v="A VISTA"/>
    <d v="2024-07-30T00:00:00"/>
    <n v="2016"/>
    <m/>
    <m/>
    <m/>
    <m/>
    <m/>
    <m/>
  </r>
  <r>
    <s v="106912"/>
    <s v="VertexSolar Power"/>
    <d v="2024-01-20T00:00:00"/>
    <x v="0"/>
    <x v="1"/>
    <s v="55.678.901/0001-67"/>
    <s v="Estornos"/>
    <s v="ENVIO INCORRETO"/>
    <n v="1311"/>
    <s v="A VISTA"/>
    <d v="2024-01-21T00:00:00"/>
    <n v="1311"/>
    <m/>
    <m/>
    <m/>
    <m/>
    <m/>
    <m/>
  </r>
  <r>
    <s v="3665246"/>
    <s v="HorizonEcho Group"/>
    <d v="2023-10-02T00:00:00"/>
    <x v="3"/>
    <x v="0"/>
    <s v="78.901.234/0001-78"/>
    <s v="Entrada"/>
    <s v="MATERIAL B"/>
    <n v="6775"/>
    <s v="A VISTA"/>
    <d v="2023-10-03T00:00:00"/>
    <n v="6775"/>
    <m/>
    <m/>
    <m/>
    <m/>
    <m/>
    <m/>
  </r>
  <r>
    <s v="2258154"/>
    <s v="CrimsonEdge Dynamics"/>
    <d v="2023-05-20T00:00:00"/>
    <x v="1"/>
    <x v="0"/>
    <s v="97.890.123/0001-01"/>
    <s v="Estornos"/>
    <s v="ENVIO INCORRETO"/>
    <n v="3480"/>
    <s v="A VISTA"/>
    <d v="2023-05-21T00:00:00"/>
    <n v="3480"/>
    <m/>
    <m/>
    <m/>
    <m/>
    <m/>
    <m/>
  </r>
  <r>
    <s v="2838139"/>
    <s v="StellarWave Technologies"/>
    <d v="2024-03-11T00:00:00"/>
    <x v="8"/>
    <x v="1"/>
    <s v="76.789.012/0001-34"/>
    <s v="Estornos"/>
    <s v="ENVIO INCORRETO"/>
    <n v="8798"/>
    <s v="A VISTA"/>
    <d v="2024-03-12T00:00:00"/>
    <n v="8798"/>
    <m/>
    <m/>
    <m/>
    <m/>
    <m/>
    <m/>
  </r>
  <r>
    <s v="7286108"/>
    <s v="OmniCore Systems"/>
    <d v="2024-03-12T00:00:00"/>
    <x v="8"/>
    <x v="1"/>
    <s v="64.567.890/0001-90"/>
    <s v="Saída"/>
    <s v="Pagamentos ADMs"/>
    <n v="-6614"/>
    <s v="1+3"/>
    <d v="2024-03-13T00:00:00"/>
    <n v="-1653.5"/>
    <d v="2024-04-11T00:00:00"/>
    <n v="-1653.5"/>
    <d v="2024-04-26T00:00:00"/>
    <n v="-1653.5"/>
    <d v="2024-05-11T00:00:00"/>
    <n v="-1653.5"/>
  </r>
  <r>
    <s v="19140231"/>
    <s v="ElevatePulse LLC"/>
    <d v="2023-06-10T00:00:00"/>
    <x v="2"/>
    <x v="0"/>
    <s v="85.678.901/0001-67"/>
    <s v="Saída"/>
    <s v="Pagamentos ADMs"/>
    <n v="-6729"/>
    <s v="1+2"/>
    <d v="2023-06-11T00:00:00"/>
    <n v="-2243"/>
    <d v="2023-07-10T00:00:00"/>
    <n v="-2243"/>
    <d v="2023-07-25T00:00:00"/>
    <n v="-2243"/>
    <m/>
    <m/>
  </r>
  <r>
    <s v="1001062"/>
    <s v="StellarCore Systems"/>
    <d v="2024-05-18T00:00:00"/>
    <x v="1"/>
    <x v="1"/>
    <s v="96.789.012/0001-34"/>
    <s v="Estornos"/>
    <s v="EXTRAVIADO"/>
    <n v="4572"/>
    <s v="A VISTA"/>
    <d v="2024-05-19T00:00:00"/>
    <n v="4572"/>
    <m/>
    <m/>
    <m/>
    <m/>
    <m/>
    <m/>
  </r>
  <r>
    <s v="894220"/>
    <s v="HorizonNexus Corp."/>
    <d v="2024-02-20T00:00:00"/>
    <x v="4"/>
    <x v="1"/>
    <s v="09.012.345/0001-45"/>
    <s v="Entrada"/>
    <s v="MATERIAL D"/>
    <n v="7623"/>
    <s v="A VISTA"/>
    <d v="2024-02-21T00:00:00"/>
    <n v="7623"/>
    <m/>
    <m/>
    <m/>
    <m/>
    <m/>
    <m/>
  </r>
  <r>
    <s v="5829196"/>
    <s v="HorizonEcho Group"/>
    <d v="2023-10-03T00:00:00"/>
    <x v="3"/>
    <x v="0"/>
    <s v="78.901.234/0001-78"/>
    <s v="Entrada"/>
    <s v="MATERIAL B"/>
    <n v="8345"/>
    <s v="1+1"/>
    <d v="2023-10-04T00:00:00"/>
    <n v="4172.5"/>
    <d v="2023-11-02T00:00:00"/>
    <n v="4172.5"/>
    <m/>
    <m/>
    <m/>
    <m/>
  </r>
  <r>
    <s v="753074"/>
    <s v="CyberSphere Innovations"/>
    <d v="2024-04-08T00:00:00"/>
    <x v="11"/>
    <x v="1"/>
    <s v="63.456.789/0001-23"/>
    <s v="Saída"/>
    <s v="Consultoria"/>
    <n v="-9714"/>
    <s v="A VISTA"/>
    <d v="2024-04-09T00:00:00"/>
    <n v="-9714"/>
    <m/>
    <m/>
    <m/>
    <m/>
    <m/>
    <m/>
  </r>
  <r>
    <s v="3639128"/>
    <s v="CyberLink Corporation"/>
    <d v="2023-08-01T00:00:00"/>
    <x v="7"/>
    <x v="0"/>
    <s v="21.234.567/0001-89"/>
    <s v="Saída"/>
    <s v="Consultoria"/>
    <n v="-8895"/>
    <s v="1+3"/>
    <d v="2023-08-02T00:00:00"/>
    <n v="-2223.75"/>
    <d v="2023-08-31T00:00:00"/>
    <n v="-2223.75"/>
    <d v="2023-09-15T00:00:00"/>
    <n v="-2223.75"/>
    <d v="2023-09-30T00:00:00"/>
    <n v="-2223.75"/>
  </r>
  <r>
    <s v="542101"/>
    <s v="ElevateX Solutions"/>
    <d v="2023-08-14T00:00:00"/>
    <x v="7"/>
    <x v="0"/>
    <s v="43.456.789/0001-23"/>
    <s v="Saída"/>
    <s v="Pagamentos ADMs"/>
    <n v="-5276"/>
    <s v="1+3"/>
    <d v="2023-08-15T00:00:00"/>
    <n v="-1319"/>
    <d v="2023-09-13T00:00:00"/>
    <n v="-1319"/>
    <d v="2023-09-28T00:00:00"/>
    <n v="-1319"/>
    <d v="2023-10-13T00:00:00"/>
    <n v="-1319"/>
  </r>
  <r>
    <s v="778514"/>
    <s v="ApexSphere Enterprises"/>
    <d v="2024-04-02T00:00:00"/>
    <x v="11"/>
    <x v="1"/>
    <s v="65.678.901/0001-67"/>
    <s v="Entrada"/>
    <s v="MATERIAL E"/>
    <n v="2495"/>
    <s v="1+2"/>
    <d v="2024-04-03T00:00:00"/>
    <n v="831.66666666666663"/>
    <d v="2024-05-02T00:00:00"/>
    <n v="831.66666666666663"/>
    <d v="2024-05-17T00:00:00"/>
    <n v="831.66666666666663"/>
    <m/>
    <m/>
  </r>
  <r>
    <s v="2750196"/>
    <s v="CyberLink Corporation"/>
    <d v="2023-10-07T00:00:00"/>
    <x v="3"/>
    <x v="0"/>
    <s v="21.234.567/0001-89"/>
    <s v="Saída"/>
    <s v="Consultoria"/>
    <n v="-4841"/>
    <s v="A VISTA"/>
    <d v="2023-10-08T00:00:00"/>
    <n v="-4841"/>
    <m/>
    <m/>
    <m/>
    <m/>
    <m/>
    <m/>
  </r>
  <r>
    <s v="8440216"/>
    <s v="SilverStone Ventures"/>
    <d v="2023-11-17T00:00:00"/>
    <x v="10"/>
    <x v="0"/>
    <s v="89.012.345/0001-45"/>
    <s v="Entrada"/>
    <s v="MATERIAL A"/>
    <n v="2405"/>
    <s v="1+3"/>
    <d v="2023-11-18T00:00:00"/>
    <n v="601.25"/>
    <d v="2023-12-17T00:00:00"/>
    <n v="601.25"/>
    <d v="2024-01-01T00:00:00"/>
    <n v="601.25"/>
    <d v="2024-01-16T00:00:00"/>
    <n v="601.25"/>
  </r>
  <r>
    <s v="15146178"/>
    <s v="AeroVista Holdings"/>
    <d v="2024-02-24T00:00:00"/>
    <x v="4"/>
    <x v="1"/>
    <s v="19.012.345/0001-45"/>
    <s v="Saída"/>
    <s v="Impostos"/>
    <n v="-2708"/>
    <s v="1+2"/>
    <d v="2024-02-25T00:00:00"/>
    <n v="-902.66666666666663"/>
    <d v="2024-03-25T00:00:00"/>
    <n v="-902.66666666666663"/>
    <d v="2024-04-09T00:00:00"/>
    <n v="-902.66666666666663"/>
    <m/>
    <m/>
  </r>
  <r>
    <s v="10063112"/>
    <s v="VortexLeaf Dynamics"/>
    <d v="2023-11-19T00:00:00"/>
    <x v="10"/>
    <x v="0"/>
    <s v="18.901.234/0001-78"/>
    <s v="Entrada"/>
    <s v="MATERIAL D"/>
    <n v="5056"/>
    <s v="1+2"/>
    <d v="2023-11-20T00:00:00"/>
    <n v="1685.3333333333333"/>
    <d v="2023-12-19T00:00:00"/>
    <n v="1685.3333333333333"/>
    <d v="2024-01-03T00:00:00"/>
    <n v="1685.3333333333333"/>
    <m/>
    <m/>
  </r>
  <r>
    <s v="51103250"/>
    <s v="SilverPulse Ventures"/>
    <d v="2023-07-03T00:00:00"/>
    <x v="6"/>
    <x v="0"/>
    <s v="42.345.678/0001-56"/>
    <s v="Saída"/>
    <s v="Consultoria"/>
    <n v="-8323"/>
    <s v="1+1"/>
    <d v="2023-07-04T00:00:00"/>
    <n v="-4161.5"/>
    <d v="2023-08-02T00:00:00"/>
    <n v="-4161.5"/>
    <m/>
    <m/>
    <m/>
    <m/>
  </r>
  <r>
    <s v="588161"/>
    <s v="VortexPeak Dynamics"/>
    <d v="2023-10-03T00:00:00"/>
    <x v="3"/>
    <x v="0"/>
    <s v="98.901.234/0001-78"/>
    <s v="Saída"/>
    <s v="Impostos"/>
    <n v="-4870"/>
    <s v="A VISTA"/>
    <d v="2023-10-04T00:00:00"/>
    <n v="-4870"/>
    <m/>
    <m/>
    <m/>
    <m/>
    <m/>
    <m/>
  </r>
  <r>
    <s v="7913746"/>
    <s v="CrimsonCrest Dynamics"/>
    <d v="2024-05-17T00:00:00"/>
    <x v="1"/>
    <x v="1"/>
    <s v="66.789.012/0001-34"/>
    <s v="Saída"/>
    <s v="Factoring Fee"/>
    <n v="-5610"/>
    <s v="1+2"/>
    <d v="2024-05-18T00:00:00"/>
    <n v="-1870"/>
    <d v="2024-06-16T00:00:00"/>
    <n v="-1870"/>
    <d v="2024-07-01T00:00:00"/>
    <n v="-1870"/>
    <m/>
    <m/>
  </r>
  <r>
    <s v="91110230"/>
    <s v="HorizonEcho Group"/>
    <d v="2024-02-22T00:00:00"/>
    <x v="4"/>
    <x v="1"/>
    <s v="78.901.234/0001-78"/>
    <s v="Entrada"/>
    <s v="MATERIAL B"/>
    <n v="4186"/>
    <s v="1+2"/>
    <d v="2024-02-23T00:00:00"/>
    <n v="1395.3333333333333"/>
    <d v="2024-03-23T00:00:00"/>
    <n v="1395.3333333333333"/>
    <d v="2024-04-07T00:00:00"/>
    <n v="1395.3333333333333"/>
    <m/>
    <m/>
  </r>
  <r>
    <s v="934218"/>
    <s v="ElevatePulse LLC"/>
    <d v="2024-02-02T00:00:00"/>
    <x v="4"/>
    <x v="1"/>
    <s v="85.678.901/0001-67"/>
    <s v="Saída"/>
    <s v="Pagamentos ADMs"/>
    <n v="-2499"/>
    <s v="A VISTA"/>
    <d v="2024-02-03T00:00:00"/>
    <n v="-2499"/>
    <m/>
    <m/>
    <m/>
    <m/>
    <m/>
    <m/>
  </r>
  <r>
    <s v="66137145"/>
    <s v="NovaSphere Industries"/>
    <d v="2023-07-28T00:00:00"/>
    <x v="6"/>
    <x v="0"/>
    <s v="99.012.345/0001-45"/>
    <s v="Entrada"/>
    <s v="MATERIAL B"/>
    <n v="3053"/>
    <s v="1+1"/>
    <d v="2023-07-29T00:00:00"/>
    <n v="1526.5"/>
    <d v="2023-08-27T00:00:00"/>
    <n v="1526.5"/>
    <m/>
    <m/>
    <m/>
    <m/>
  </r>
  <r>
    <s v="57823"/>
    <s v="SilverStone Ventures"/>
    <d v="2023-09-23T00:00:00"/>
    <x v="5"/>
    <x v="0"/>
    <s v="89.012.345/0001-45"/>
    <s v="Entrada"/>
    <s v="MATERIAL A"/>
    <n v="2786"/>
    <s v="1+3"/>
    <d v="2023-09-24T00:00:00"/>
    <n v="696.5"/>
    <d v="2023-10-23T00:00:00"/>
    <n v="696.5"/>
    <d v="2023-11-07T00:00:00"/>
    <n v="696.5"/>
    <d v="2023-11-22T00:00:00"/>
    <n v="696.5"/>
  </r>
  <r>
    <s v="3411048"/>
    <s v="CyberLink Corporation"/>
    <d v="2023-10-03T00:00:00"/>
    <x v="3"/>
    <x v="0"/>
    <s v="21.234.567/0001-89"/>
    <s v="Saída"/>
    <s v="Consultoria"/>
    <n v="-5235"/>
    <s v="1+3"/>
    <d v="2023-10-04T00:00:00"/>
    <n v="-1308.75"/>
    <d v="2023-11-02T00:00:00"/>
    <n v="-1308.75"/>
    <d v="2023-11-17T00:00:00"/>
    <n v="-1308.75"/>
    <d v="2023-12-02T00:00:00"/>
    <n v="-1308.75"/>
  </r>
  <r>
    <s v="94109121"/>
    <s v="HorizonEcho Group"/>
    <d v="2024-03-05T00:00:00"/>
    <x v="8"/>
    <x v="1"/>
    <s v="78.901.234/0001-78"/>
    <s v="Entrada"/>
    <s v="MATERIAL B"/>
    <n v="7659"/>
    <s v="1+3"/>
    <d v="2024-03-06T00:00:00"/>
    <n v="1914.75"/>
    <d v="2024-04-04T00:00:00"/>
    <n v="1914.75"/>
    <d v="2024-04-19T00:00:00"/>
    <n v="1914.75"/>
    <d v="2024-05-04T00:00:00"/>
    <n v="1914.75"/>
  </r>
  <r>
    <s v="3850241"/>
    <s v="QuantumWave Industries"/>
    <d v="2024-03-30T00:00:00"/>
    <x v="8"/>
    <x v="1"/>
    <s v="12.345.678/0001-56"/>
    <s v="Estornos"/>
    <s v="EXTRAVIADO"/>
    <n v="592"/>
    <s v="A VISTA"/>
    <d v="2024-03-31T00:00:00"/>
    <n v="592"/>
    <m/>
    <m/>
    <m/>
    <m/>
    <m/>
    <m/>
  </r>
  <r>
    <s v="5580188"/>
    <s v="TerraPeak Enterprises"/>
    <d v="2023-05-20T00:00:00"/>
    <x v="1"/>
    <x v="0"/>
    <s v="41.234.567/0001-89"/>
    <s v="Entrada"/>
    <s v="MATERIAL B"/>
    <n v="6838"/>
    <s v="A VISTA"/>
    <d v="2023-05-21T00:00:00"/>
    <n v="6838"/>
    <m/>
    <m/>
    <m/>
    <m/>
    <m/>
    <m/>
  </r>
  <r>
    <s v="8964247"/>
    <s v="HorizonTech Solutions"/>
    <d v="2024-02-27T00:00:00"/>
    <x v="4"/>
    <x v="1"/>
    <s v="29.012.345/0001-45"/>
    <s v="Entrada"/>
    <s v="MATERIAL B"/>
    <n v="7867"/>
    <s v="1+2"/>
    <d v="2024-02-28T00:00:00"/>
    <n v="2622.3333333333335"/>
    <d v="2024-03-28T00:00:00"/>
    <n v="2622.3333333333335"/>
    <d v="2024-04-12T00:00:00"/>
    <n v="2622.3333333333335"/>
    <m/>
    <m/>
  </r>
  <r>
    <s v="629594"/>
    <s v="BlueWave Networks"/>
    <d v="2024-03-31T00:00:00"/>
    <x v="8"/>
    <x v="1"/>
    <s v="22.345.678/0001-56"/>
    <s v="Saída"/>
    <s v="Pagamentos ADMs"/>
    <n v="-7106"/>
    <s v="1+2"/>
    <d v="2024-04-01T00:00:00"/>
    <n v="-2368.6666666666665"/>
    <d v="2024-04-30T00:00:00"/>
    <n v="-2368.6666666666665"/>
    <d v="2024-05-15T00:00:00"/>
    <n v="-2368.6666666666665"/>
    <m/>
    <m/>
  </r>
  <r>
    <s v="3210360"/>
    <s v="CyberSphere Innovations"/>
    <d v="2023-08-18T00:00:00"/>
    <x v="7"/>
    <x v="0"/>
    <s v="63.456.789/0001-23"/>
    <s v="Saída"/>
    <s v="Consultoria"/>
    <n v="-6679"/>
    <s v="1+2"/>
    <d v="2023-08-19T00:00:00"/>
    <n v="-2226.3333333333335"/>
    <d v="2023-09-17T00:00:00"/>
    <n v="-2226.3333333333335"/>
    <d v="2023-10-02T00:00:00"/>
    <n v="-2226.3333333333335"/>
    <m/>
    <m/>
  </r>
  <r>
    <s v="2170202"/>
    <s v="ZenTech Solutions"/>
    <d v="2023-11-05T00:00:00"/>
    <x v="10"/>
    <x v="0"/>
    <s v="08.901.234/0001-78"/>
    <s v="Saída"/>
    <s v="Factoring Fee"/>
    <n v="-401"/>
    <s v="A VISTA"/>
    <d v="2023-11-06T00:00:00"/>
    <n v="-401"/>
    <m/>
    <m/>
    <m/>
    <m/>
    <m/>
    <m/>
  </r>
  <r>
    <s v="644718"/>
    <s v="BrightLeaf Innovations"/>
    <d v="2023-12-01T00:00:00"/>
    <x v="9"/>
    <x v="0"/>
    <s v="10.123.456/0001-12"/>
    <s v="Entrada"/>
    <s v="MATERIAL A"/>
    <n v="9190"/>
    <s v="1+1"/>
    <d v="2023-12-02T00:00:00"/>
    <n v="4595"/>
    <d v="2023-12-31T00:00:00"/>
    <n v="4595"/>
    <m/>
    <m/>
    <m/>
    <m/>
  </r>
  <r>
    <s v="787119"/>
    <s v="VertexSolar Power"/>
    <d v="2023-10-27T00:00:00"/>
    <x v="3"/>
    <x v="0"/>
    <s v="55.678.901/0001-67"/>
    <s v="Estornos"/>
    <s v="ENVIO INCORRETO"/>
    <n v="6129"/>
    <s v="A VISTA"/>
    <d v="2023-10-28T00:00:00"/>
    <n v="6129"/>
    <m/>
    <m/>
    <m/>
    <m/>
    <m/>
    <m/>
  </r>
  <r>
    <s v="5211210"/>
    <s v="TitanEdge Enterprises"/>
    <d v="2023-09-03T00:00:00"/>
    <x v="5"/>
    <x v="0"/>
    <s v="44.567.890/0001-90"/>
    <s v="Entrada"/>
    <s v="MATERIAL E"/>
    <n v="4180"/>
    <s v="1+2"/>
    <d v="2023-09-04T00:00:00"/>
    <n v="1393.3333333333333"/>
    <d v="2023-10-03T00:00:00"/>
    <n v="1393.3333333333333"/>
    <d v="2023-10-18T00:00:00"/>
    <n v="1393.3333333333333"/>
    <m/>
    <m/>
  </r>
  <r>
    <s v="4410640"/>
    <s v="BrightWave Technologies"/>
    <d v="2023-12-18T00:00:00"/>
    <x v="9"/>
    <x v="0"/>
    <s v="52.345.678/0001-56"/>
    <s v="Entrada"/>
    <s v="MATERIAL A"/>
    <n v="9950"/>
    <s v="A VISTA"/>
    <d v="2023-12-19T00:00:00"/>
    <n v="9950"/>
    <m/>
    <m/>
    <m/>
    <m/>
    <m/>
    <m/>
  </r>
  <r>
    <s v="39132213"/>
    <s v="ZenithStream Technologies"/>
    <d v="2024-03-15T00:00:00"/>
    <x v="8"/>
    <x v="1"/>
    <s v="77.890.123/0001-01"/>
    <s v="Saída"/>
    <s v="Impostos"/>
    <n v="-5802"/>
    <s v="A VISTA"/>
    <d v="2024-03-16T00:00:00"/>
    <n v="-5802"/>
    <m/>
    <m/>
    <m/>
    <m/>
    <m/>
    <m/>
  </r>
  <r>
    <s v="952518"/>
    <s v="TitanFusion Power"/>
    <d v="2024-03-19T00:00:00"/>
    <x v="8"/>
    <x v="1"/>
    <s v="86.789.012/0001-34"/>
    <s v="Entrada"/>
    <s v="MATERIAL E"/>
    <n v="9484"/>
    <s v="A VISTA"/>
    <d v="2024-03-20T00:00:00"/>
    <n v="9484"/>
    <m/>
    <m/>
    <m/>
    <m/>
    <m/>
    <m/>
  </r>
  <r>
    <s v="818660"/>
    <s v="ZenTech Solutions"/>
    <d v="2024-04-28T00:00:00"/>
    <x v="11"/>
    <x v="1"/>
    <s v="08.901.234/0001-78"/>
    <s v="Saída"/>
    <s v="Factoring Fee"/>
    <n v="-2504"/>
    <s v="1+3"/>
    <d v="2024-04-29T00:00:00"/>
    <n v="-626"/>
    <d v="2024-05-28T00:00:00"/>
    <n v="-626"/>
    <d v="2024-06-12T00:00:00"/>
    <n v="-626"/>
    <d v="2024-06-27T00:00:00"/>
    <n v="-626"/>
  </r>
  <r>
    <s v="710534"/>
    <s v="BlueStone Networks"/>
    <d v="2023-09-18T00:00:00"/>
    <x v="5"/>
    <x v="0"/>
    <s v="53.456.789/0001-23"/>
    <s v="Entrada"/>
    <s v="MATERIAL C"/>
    <n v="8677"/>
    <s v="1+2"/>
    <d v="2023-09-19T00:00:00"/>
    <n v="2892.3333333333335"/>
    <d v="2023-10-18T00:00:00"/>
    <n v="2892.3333333333335"/>
    <d v="2023-11-02T00:00:00"/>
    <n v="2892.3333333333335"/>
    <m/>
    <m/>
  </r>
  <r>
    <s v="8778179"/>
    <s v="RadiantVista Holdings"/>
    <d v="2024-01-27T00:00:00"/>
    <x v="0"/>
    <x v="1"/>
    <s v="20.123.456/0001-12"/>
    <s v="Entrada"/>
    <s v="MATERIAL B"/>
    <n v="1893"/>
    <s v="A VISTA"/>
    <d v="2024-01-28T00:00:00"/>
    <n v="1893"/>
    <m/>
    <m/>
    <m/>
    <m/>
    <m/>
    <m/>
  </r>
  <r>
    <s v="1247246"/>
    <s v="FusionPeak Technologies"/>
    <d v="2024-05-05T00:00:00"/>
    <x v="1"/>
    <x v="1"/>
    <s v="67.890.123/0001-01"/>
    <s v="Entrada"/>
    <s v="MATERIAL D"/>
    <n v="8676"/>
    <s v="A VISTA"/>
    <d v="2024-05-06T00:00:00"/>
    <n v="8676"/>
    <m/>
    <m/>
    <m/>
    <m/>
    <m/>
    <m/>
  </r>
  <r>
    <s v="73111110"/>
    <s v="QuantumWave Industries"/>
    <d v="2024-07-05T00:00:00"/>
    <x v="6"/>
    <x v="1"/>
    <s v="12.345.678/0001-56"/>
    <s v="Estornos"/>
    <s v="EXTRAVIADO"/>
    <n v="5431"/>
    <s v="A VISTA"/>
    <d v="2024-07-06T00:00:00"/>
    <n v="5431"/>
    <m/>
    <m/>
    <m/>
    <m/>
    <m/>
    <m/>
  </r>
  <r>
    <s v="957959"/>
    <s v="VortexPeak Dynamics"/>
    <d v="2023-08-07T00:00:00"/>
    <x v="7"/>
    <x v="0"/>
    <s v="98.901.234/0001-78"/>
    <s v="Saída"/>
    <s v="Impostos"/>
    <n v="-1169"/>
    <s v="A VISTA"/>
    <d v="2023-08-08T00:00:00"/>
    <n v="-1169"/>
    <m/>
    <m/>
    <m/>
    <m/>
    <m/>
    <m/>
  </r>
  <r>
    <s v="193890"/>
    <s v="BrightWave Technologies"/>
    <d v="2024-07-04T00:00:00"/>
    <x v="6"/>
    <x v="1"/>
    <s v="52.345.678/0001-56"/>
    <s v="Entrada"/>
    <s v="MATERIAL A"/>
    <n v="7350"/>
    <s v="1+3"/>
    <d v="2024-07-05T00:00:00"/>
    <n v="1837.5"/>
    <d v="2024-08-03T00:00:00"/>
    <n v="1837.5"/>
    <d v="2024-08-18T00:00:00"/>
    <n v="1837.5"/>
    <d v="2024-09-02T00:00:00"/>
    <n v="1837.5"/>
  </r>
  <r>
    <s v="9875163"/>
    <s v="ElevateX Solutions"/>
    <d v="2024-02-20T00:00:00"/>
    <x v="4"/>
    <x v="1"/>
    <s v="43.456.789/0001-23"/>
    <s v="Saída"/>
    <s v="Pagamentos ADMs"/>
    <n v="-2166"/>
    <s v="1+2"/>
    <d v="2024-02-21T00:00:00"/>
    <n v="-722"/>
    <d v="2024-03-21T00:00:00"/>
    <n v="-722"/>
    <d v="2024-04-05T00:00:00"/>
    <n v="-722"/>
    <m/>
    <m/>
  </r>
  <r>
    <s v="48148206"/>
    <s v="OmniGlobe Enterprises"/>
    <d v="2024-03-08T00:00:00"/>
    <x v="8"/>
    <x v="1"/>
    <s v="23.456.789/0001-23"/>
    <s v="Entrada"/>
    <s v="MATERIAL E"/>
    <n v="6253"/>
    <s v="A VISTA"/>
    <d v="2024-03-09T00:00:00"/>
    <n v="6253"/>
    <m/>
    <m/>
    <m/>
    <m/>
    <m/>
    <m/>
  </r>
  <r>
    <s v="5396100"/>
    <s v="LuminaCore Systems"/>
    <d v="2024-02-25T00:00:00"/>
    <x v="4"/>
    <x v="1"/>
    <s v="90.123.456/0001-12"/>
    <s v="Saída"/>
    <s v="Consultoria"/>
    <n v="-1990"/>
    <s v="1+1"/>
    <d v="2024-02-26T00:00:00"/>
    <n v="-995"/>
    <d v="2024-03-26T00:00:00"/>
    <n v="-995"/>
    <m/>
    <m/>
    <m/>
    <m/>
  </r>
  <r>
    <s v="3362247"/>
    <s v="ApexSphere Enterprises"/>
    <d v="2024-02-21T00:00:00"/>
    <x v="4"/>
    <x v="1"/>
    <s v="65.678.901/0001-67"/>
    <s v="Entrada"/>
    <s v="MATERIAL E"/>
    <n v="8804"/>
    <s v="1+1"/>
    <d v="2024-02-22T00:00:00"/>
    <n v="4402"/>
    <d v="2024-03-22T00:00:00"/>
    <n v="4402"/>
    <m/>
    <m/>
    <m/>
    <m/>
  </r>
  <r>
    <s v="15125100"/>
    <s v="ZenithStream Technologies"/>
    <d v="2023-09-28T00:00:00"/>
    <x v="5"/>
    <x v="0"/>
    <s v="77.890.123/0001-01"/>
    <s v="Saída"/>
    <s v="Impostos"/>
    <n v="-3706"/>
    <s v="1+2"/>
    <d v="2023-09-29T00:00:00"/>
    <n v="-1235.3333333333333"/>
    <d v="2023-10-28T00:00:00"/>
    <n v="-1235.3333333333333"/>
    <d v="2023-11-12T00:00:00"/>
    <n v="-1235.3333333333333"/>
    <m/>
    <m/>
  </r>
  <r>
    <s v="3113123"/>
    <s v="InfinityPulse LLC"/>
    <d v="2024-01-02T00:00:00"/>
    <x v="0"/>
    <x v="1"/>
    <s v="11.234.567/0001-89"/>
    <s v="Entrada"/>
    <s v="MATERIAL C"/>
    <n v="1276"/>
    <s v="1+3"/>
    <d v="2024-01-03T00:00:00"/>
    <n v="319"/>
    <d v="2024-02-01T00:00:00"/>
    <n v="319"/>
    <d v="2024-02-16T00:00:00"/>
    <n v="319"/>
    <d v="2024-03-02T00:00:00"/>
    <n v="319"/>
  </r>
  <r>
    <s v="9043102"/>
    <s v="ElevatePulse LLC"/>
    <d v="2024-04-25T00:00:00"/>
    <x v="11"/>
    <x v="1"/>
    <s v="85.678.901/0001-67"/>
    <s v="Saída"/>
    <s v="Pagamentos ADMs"/>
    <n v="-1849"/>
    <s v="1+1"/>
    <d v="2024-04-26T00:00:00"/>
    <n v="-924.5"/>
    <d v="2024-05-25T00:00:00"/>
    <n v="-924.5"/>
    <m/>
    <m/>
    <m/>
    <m/>
  </r>
  <r>
    <s v="138511"/>
    <s v="TerraFusion Industries"/>
    <d v="2024-07-01T00:00:00"/>
    <x v="6"/>
    <x v="1"/>
    <s v="54.567.890/0001-90"/>
    <s v="Estornos"/>
    <s v="EXTRAVIADO"/>
    <n v="7586"/>
    <s v="A VISTA"/>
    <d v="2024-07-02T00:00:00"/>
    <n v="7586"/>
    <m/>
    <m/>
    <m/>
    <m/>
    <m/>
    <m/>
  </r>
  <r>
    <s v="8501"/>
    <s v="InfinitySky Labs"/>
    <d v="2023-06-11T00:00:00"/>
    <x v="2"/>
    <x v="0"/>
    <s v="75.678.901/0001-67"/>
    <s v="Estornos"/>
    <s v="EXTRAVIADO"/>
    <n v="9322"/>
    <s v="A VISTA"/>
    <d v="2023-06-12T00:00:00"/>
    <n v="9322"/>
    <m/>
    <m/>
    <m/>
    <m/>
    <m/>
    <m/>
  </r>
  <r>
    <s v="35146245"/>
    <s v="BlueStone Networks"/>
    <d v="2023-12-23T00:00:00"/>
    <x v="9"/>
    <x v="0"/>
    <s v="53.456.789/0001-23"/>
    <s v="Entrada"/>
    <s v="MATERIAL C"/>
    <n v="2547"/>
    <s v="1+2"/>
    <d v="2023-12-24T00:00:00"/>
    <n v="849"/>
    <d v="2024-01-22T00:00:00"/>
    <n v="849"/>
    <d v="2024-02-06T00:00:00"/>
    <n v="849"/>
    <m/>
    <m/>
  </r>
  <r>
    <s v="7397189"/>
    <s v="HorizonNexus Corp."/>
    <d v="2024-05-24T00:00:00"/>
    <x v="1"/>
    <x v="1"/>
    <s v="09.012.345/0001-45"/>
    <s v="Entrada"/>
    <s v="MATERIAL D"/>
    <n v="2105"/>
    <s v="A VISTA"/>
    <d v="2024-05-25T00:00:00"/>
    <n v="2105"/>
    <m/>
    <m/>
    <m/>
    <m/>
    <m/>
    <m/>
  </r>
  <r>
    <s v="253743"/>
    <s v="FusionPeak Technologies"/>
    <d v="2023-08-22T00:00:00"/>
    <x v="7"/>
    <x v="0"/>
    <s v="67.890.123/0001-01"/>
    <s v="Entrada"/>
    <s v="MATERIAL D"/>
    <n v="9813"/>
    <s v="1+1"/>
    <d v="2023-08-23T00:00:00"/>
    <n v="4906.5"/>
    <d v="2023-09-21T00:00:00"/>
    <n v="4906.5"/>
    <m/>
    <m/>
    <m/>
    <m/>
  </r>
  <r>
    <s v="7345174"/>
    <s v="AeroVista Holdings"/>
    <d v="2024-04-09T00:00:00"/>
    <x v="11"/>
    <x v="1"/>
    <s v="19.012.345/0001-45"/>
    <s v="Saída"/>
    <s v="Impostos"/>
    <n v="-9521"/>
    <s v="A VISTA"/>
    <d v="2024-04-10T00:00:00"/>
    <n v="-9521"/>
    <m/>
    <m/>
    <m/>
    <m/>
    <m/>
    <m/>
  </r>
  <r>
    <s v="797357"/>
    <s v="ApexSphere Enterprises"/>
    <d v="2024-03-20T00:00:00"/>
    <x v="8"/>
    <x v="1"/>
    <s v="65.678.901/0001-67"/>
    <s v="Entrada"/>
    <s v="MATERIAL E"/>
    <n v="5979"/>
    <s v="A VISTA"/>
    <d v="2024-03-21T00:00:00"/>
    <n v="5979"/>
    <m/>
    <m/>
    <m/>
    <m/>
    <m/>
    <m/>
  </r>
  <r>
    <s v="256010"/>
    <s v="HorizonNexus Corp."/>
    <d v="2024-04-22T00:00:00"/>
    <x v="11"/>
    <x v="1"/>
    <s v="09.012.345/0001-45"/>
    <s v="Entrada"/>
    <s v="MATERIAL D"/>
    <n v="4704"/>
    <s v="1+2"/>
    <d v="2024-04-23T00:00:00"/>
    <n v="1568"/>
    <d v="2024-05-22T00:00:00"/>
    <n v="1568"/>
    <d v="2024-06-06T00:00:00"/>
    <n v="1568"/>
    <m/>
    <m/>
  </r>
  <r>
    <s v="5558215"/>
    <s v="ZenithStream Technologies"/>
    <d v="2023-08-03T00:00:00"/>
    <x v="7"/>
    <x v="0"/>
    <s v="77.890.123/0001-01"/>
    <s v="Saída"/>
    <s v="Impostos"/>
    <n v="-2123"/>
    <s v="1+2"/>
    <d v="2023-08-04T00:00:00"/>
    <n v="-707.66666666666663"/>
    <d v="2023-09-02T00:00:00"/>
    <n v="-707.66666666666663"/>
    <d v="2023-09-17T00:00:00"/>
    <n v="-707.66666666666663"/>
    <m/>
    <m/>
  </r>
  <r>
    <s v="2465227"/>
    <s v="CyberLink Corporation"/>
    <d v="2024-06-01T00:00:00"/>
    <x v="2"/>
    <x v="1"/>
    <s v="21.234.567/0001-89"/>
    <s v="Saída"/>
    <s v="Consultoria"/>
    <n v="-3341"/>
    <s v="A VISTA"/>
    <d v="2024-06-02T00:00:00"/>
    <n v="-3341"/>
    <m/>
    <m/>
    <m/>
    <m/>
    <m/>
    <m/>
  </r>
  <r>
    <s v="33133224"/>
    <s v="ApexNexus Innovations"/>
    <d v="2023-12-09T00:00:00"/>
    <x v="9"/>
    <x v="0"/>
    <s v="34.567.890/0001-90"/>
    <s v="Estornos"/>
    <s v="ENVIO INCORRETO"/>
    <n v="5561"/>
    <s v="A VISTA"/>
    <d v="2023-12-10T00:00:00"/>
    <n v="5561"/>
    <m/>
    <m/>
    <m/>
    <m/>
    <m/>
    <m/>
  </r>
  <r>
    <s v="74110"/>
    <s v="CrimsonCrest Dynamics"/>
    <d v="2023-11-26T00:00:00"/>
    <x v="10"/>
    <x v="0"/>
    <s v="66.789.012/0001-34"/>
    <s v="Saída"/>
    <s v="Factoring Fee"/>
    <n v="-9010"/>
    <s v="1+2"/>
    <d v="2023-11-27T00:00:00"/>
    <n v="-3003.3333333333335"/>
    <d v="2023-12-26T00:00:00"/>
    <n v="-3003.3333333333335"/>
    <d v="2024-01-10T00:00:00"/>
    <n v="-3003.3333333333335"/>
    <m/>
    <m/>
  </r>
  <r>
    <s v="7850245"/>
    <s v="NovaSphere Industries"/>
    <d v="2024-03-10T00:00:00"/>
    <x v="8"/>
    <x v="1"/>
    <s v="99.012.345/0001-45"/>
    <s v="Entrada"/>
    <s v="MATERIAL B"/>
    <n v="9426"/>
    <s v="1+1"/>
    <d v="2024-03-11T00:00:00"/>
    <n v="4713"/>
    <d v="2024-04-09T00:00:00"/>
    <n v="4713"/>
    <m/>
    <m/>
    <m/>
    <m/>
  </r>
  <r>
    <s v="1859110"/>
    <s v="ZenTech Solutions"/>
    <d v="2023-12-08T00:00:00"/>
    <x v="9"/>
    <x v="0"/>
    <s v="08.901.234/0001-78"/>
    <s v="Saída"/>
    <s v="Factoring Fee"/>
    <n v="-2215"/>
    <s v="1+2"/>
    <d v="2023-12-09T00:00:00"/>
    <n v="-738.33333333333337"/>
    <d v="2024-01-07T00:00:00"/>
    <n v="-738.33333333333337"/>
    <d v="2024-01-22T00:00:00"/>
    <n v="-738.33333333333337"/>
    <m/>
    <m/>
  </r>
  <r>
    <s v="1778233"/>
    <s v="VortexPeak Dynamics"/>
    <d v="2024-02-12T00:00:00"/>
    <x v="4"/>
    <x v="1"/>
    <s v="98.901.234/0001-78"/>
    <s v="Saída"/>
    <s v="Impostos"/>
    <n v="-3173"/>
    <s v="1+1"/>
    <d v="2024-02-13T00:00:00"/>
    <n v="-1586.5"/>
    <d v="2024-03-13T00:00:00"/>
    <n v="-1586.5"/>
    <m/>
    <m/>
    <m/>
    <m/>
  </r>
  <r>
    <s v="25140249"/>
    <s v="OmniCore Systems"/>
    <d v="2024-07-25T00:00:00"/>
    <x v="6"/>
    <x v="1"/>
    <s v="64.567.890/0001-90"/>
    <s v="Saída"/>
    <s v="Pagamentos ADMs"/>
    <n v="-6591"/>
    <s v="A VISTA"/>
    <d v="2024-07-26T00:00:00"/>
    <n v="-6591"/>
    <m/>
    <m/>
    <m/>
    <m/>
    <m/>
    <m/>
  </r>
  <r>
    <s v="6021225"/>
    <s v="ApexNexus Innovations"/>
    <d v="2024-08-13T00:00:00"/>
    <x v="7"/>
    <x v="1"/>
    <s v="34.567.890/0001-90"/>
    <s v="Estornos"/>
    <s v="ENVIO INCORRETO"/>
    <n v="9169"/>
    <s v="A VISTA"/>
    <d v="2024-08-14T00:00:00"/>
    <n v="9169"/>
    <m/>
    <m/>
    <m/>
    <m/>
    <m/>
    <m/>
  </r>
  <r>
    <s v="1814479"/>
    <s v="FusionPeak Technologies"/>
    <d v="2024-03-29T00:00:00"/>
    <x v="8"/>
    <x v="1"/>
    <s v="67.890.123/0001-01"/>
    <s v="Entrada"/>
    <s v="MATERIAL D"/>
    <n v="6193"/>
    <s v="1+1"/>
    <d v="2024-03-30T00:00:00"/>
    <n v="3096.5"/>
    <d v="2024-04-28T00:00:00"/>
    <n v="3096.5"/>
    <m/>
    <m/>
    <m/>
    <m/>
  </r>
  <r>
    <s v="6712518"/>
    <s v="VortexLeaf Dynamics"/>
    <d v="2024-03-01T00:00:00"/>
    <x v="8"/>
    <x v="1"/>
    <s v="18.901.234/0001-78"/>
    <s v="Entrada"/>
    <s v="MATERIAL D"/>
    <n v="7567"/>
    <s v="1+2"/>
    <d v="2024-03-02T00:00:00"/>
    <n v="2522.3333333333335"/>
    <d v="2024-03-31T00:00:00"/>
    <n v="2522.3333333333335"/>
    <d v="2024-04-15T00:00:00"/>
    <n v="2522.3333333333335"/>
    <m/>
    <m/>
  </r>
  <r>
    <s v="52767"/>
    <s v="FusionEdge Systems"/>
    <d v="2024-05-18T00:00:00"/>
    <x v="1"/>
    <x v="1"/>
    <s v="87.890.123/0001-01"/>
    <s v="Saída"/>
    <s v="Factoring Fee"/>
    <n v="-874"/>
    <s v="1+2"/>
    <d v="2024-05-19T00:00:00"/>
    <n v="-291.33333333333331"/>
    <d v="2024-06-17T00:00:00"/>
    <n v="-291.33333333333331"/>
    <d v="2024-07-02T00:00:00"/>
    <n v="-291.33333333333331"/>
    <m/>
    <m/>
  </r>
  <r>
    <s v="6109247"/>
    <s v="OmniCore Systems"/>
    <d v="2024-05-29T00:00:00"/>
    <x v="1"/>
    <x v="1"/>
    <s v="64.567.890/0001-90"/>
    <s v="Saída"/>
    <s v="Pagamentos ADMs"/>
    <n v="-8293"/>
    <s v="1+1"/>
    <d v="2024-05-30T00:00:00"/>
    <n v="-4146.5"/>
    <d v="2024-06-28T00:00:00"/>
    <n v="-4146.5"/>
    <m/>
    <m/>
    <m/>
    <m/>
  </r>
  <r>
    <s v="743206"/>
    <s v="ZenithStream Technologies"/>
    <d v="2024-06-16T00:00:00"/>
    <x v="2"/>
    <x v="1"/>
    <s v="77.890.123/0001-01"/>
    <s v="Saída"/>
    <s v="Impostos"/>
    <n v="-6745"/>
    <s v="1+2"/>
    <d v="2024-06-17T00:00:00"/>
    <n v="-2248.3333333333335"/>
    <d v="2024-07-16T00:00:00"/>
    <n v="-2248.3333333333335"/>
    <d v="2024-07-31T00:00:00"/>
    <n v="-2248.3333333333335"/>
    <m/>
    <m/>
  </r>
  <r>
    <s v="1672150"/>
    <s v="TerraVista Holdings"/>
    <d v="2024-05-27T00:00:00"/>
    <x v="1"/>
    <x v="1"/>
    <s v="45.678.901/0001-67"/>
    <s v="Saída"/>
    <s v="Factoring Fee"/>
    <n v="-3455"/>
    <s v="1+3"/>
    <d v="2024-05-28T00:00:00"/>
    <n v="-863.75"/>
    <d v="2024-06-26T00:00:00"/>
    <n v="-863.75"/>
    <d v="2024-07-11T00:00:00"/>
    <n v="-863.75"/>
    <d v="2024-07-26T00:00:00"/>
    <n v="-863.75"/>
  </r>
  <r>
    <s v="2412331"/>
    <s v="TitanFusion Power"/>
    <d v="2023-10-12T00:00:00"/>
    <x v="3"/>
    <x v="0"/>
    <s v="86.789.012/0001-34"/>
    <s v="Entrada"/>
    <s v="MATERIAL E"/>
    <n v="7979"/>
    <s v="1+2"/>
    <d v="2023-10-13T00:00:00"/>
    <n v="2659.6666666666665"/>
    <d v="2023-11-11T00:00:00"/>
    <n v="2659.6666666666665"/>
    <d v="2023-11-26T00:00:00"/>
    <n v="2659.6666666666665"/>
    <m/>
    <m/>
  </r>
  <r>
    <s v="13144219"/>
    <s v="SilverStone Ventures"/>
    <d v="2023-06-29T00:00:00"/>
    <x v="2"/>
    <x v="0"/>
    <s v="89.012.345/0001-45"/>
    <s v="Entrada"/>
    <s v="MATERIAL A"/>
    <n v="8660"/>
    <s v="A VISTA"/>
    <d v="2023-06-30T00:00:00"/>
    <n v="8660"/>
    <m/>
    <m/>
    <m/>
    <m/>
    <m/>
    <m/>
  </r>
  <r>
    <s v="5711428"/>
    <s v="HorizonTech Solutions"/>
    <d v="2023-07-26T00:00:00"/>
    <x v="6"/>
    <x v="0"/>
    <s v="29.012.345/0001-45"/>
    <s v="Entrada"/>
    <s v="MATERIAL B"/>
    <n v="7962"/>
    <s v="1+2"/>
    <d v="2023-07-27T00:00:00"/>
    <n v="2654"/>
    <d v="2023-08-25T00:00:00"/>
    <n v="2654"/>
    <d v="2023-09-09T00:00:00"/>
    <n v="2654"/>
    <m/>
    <m/>
  </r>
  <r>
    <s v="726943"/>
    <s v="FusionVista Ventures"/>
    <d v="2023-08-10T00:00:00"/>
    <x v="7"/>
    <x v="0"/>
    <s v="07.890.123/0001-01"/>
    <s v="Entrada"/>
    <s v="MATERIAL E"/>
    <n v="9511"/>
    <s v="A VISTA"/>
    <d v="2023-08-11T00:00:00"/>
    <n v="9511"/>
    <m/>
    <m/>
    <m/>
    <m/>
    <m/>
    <m/>
  </r>
  <r>
    <s v="5350202"/>
    <s v="InfinitySky Labs"/>
    <d v="2023-09-10T00:00:00"/>
    <x v="5"/>
    <x v="0"/>
    <s v="75.678.901/0001-67"/>
    <s v="Estornos"/>
    <s v="EXTRAVIADO"/>
    <n v="8511"/>
    <s v="A VISTA"/>
    <d v="2023-09-11T00:00:00"/>
    <n v="8511"/>
    <m/>
    <m/>
    <m/>
    <m/>
    <m/>
    <m/>
  </r>
  <r>
    <s v="1864118"/>
    <s v="HorizonEcho Group"/>
    <d v="2024-05-24T00:00:00"/>
    <x v="1"/>
    <x v="1"/>
    <s v="78.901.234/0001-78"/>
    <s v="Entrada"/>
    <s v="MATERIAL B"/>
    <n v="8691"/>
    <s v="1+3"/>
    <d v="2024-05-25T00:00:00"/>
    <n v="2172.75"/>
    <d v="2024-06-23T00:00:00"/>
    <n v="2172.75"/>
    <d v="2024-07-08T00:00:00"/>
    <n v="2172.75"/>
    <d v="2024-07-23T00:00:00"/>
    <n v="2172.75"/>
  </r>
  <r>
    <s v="232162"/>
    <s v="BrightLeaf Innovations"/>
    <d v="2024-03-05T00:00:00"/>
    <x v="8"/>
    <x v="1"/>
    <s v="10.123.456/0001-12"/>
    <s v="Entrada"/>
    <s v="MATERIAL A"/>
    <n v="7016"/>
    <s v="1+3"/>
    <d v="2024-03-06T00:00:00"/>
    <n v="1754"/>
    <d v="2024-04-04T00:00:00"/>
    <n v="1754"/>
    <d v="2024-04-19T00:00:00"/>
    <n v="1754"/>
    <d v="2024-05-04T00:00:00"/>
    <n v="1754"/>
  </r>
  <r>
    <s v="1114574"/>
    <s v="FusionVista Ventures"/>
    <d v="2023-07-08T00:00:00"/>
    <x v="6"/>
    <x v="0"/>
    <s v="07.890.123/0001-01"/>
    <s v="Entrada"/>
    <s v="MATERIAL E"/>
    <n v="2432"/>
    <s v="A VISTA"/>
    <d v="2023-07-09T00:00:00"/>
    <n v="2432"/>
    <m/>
    <m/>
    <m/>
    <m/>
    <m/>
    <m/>
  </r>
  <r>
    <s v="4143216"/>
    <s v="NovaSphere Industries"/>
    <d v="2023-07-13T00:00:00"/>
    <x v="6"/>
    <x v="0"/>
    <s v="99.012.345/0001-45"/>
    <s v="Entrada"/>
    <s v="MATERIAL B"/>
    <n v="7988"/>
    <s v="1+3"/>
    <d v="2023-07-14T00:00:00"/>
    <n v="1997"/>
    <d v="2023-08-12T00:00:00"/>
    <n v="1997"/>
    <d v="2023-08-27T00:00:00"/>
    <n v="1997"/>
    <d v="2023-09-11T00:00:00"/>
    <n v="1997"/>
  </r>
  <r>
    <s v="4110676"/>
    <s v="ZenithStream Technologies"/>
    <d v="2024-03-23T00:00:00"/>
    <x v="8"/>
    <x v="1"/>
    <s v="77.890.123/0001-01"/>
    <s v="Saída"/>
    <s v="Impostos"/>
    <n v="-5810"/>
    <s v="1+2"/>
    <d v="2024-03-24T00:00:00"/>
    <n v="-1936.6666666666667"/>
    <d v="2024-04-22T00:00:00"/>
    <n v="-1936.6666666666667"/>
    <d v="2024-05-07T00:00:00"/>
    <n v="-1936.6666666666667"/>
    <m/>
    <m/>
  </r>
  <r>
    <s v="2128125"/>
    <s v="FusionVista Ventures"/>
    <d v="2023-05-09T00:00:00"/>
    <x v="1"/>
    <x v="0"/>
    <s v="07.890.123/0001-01"/>
    <s v="Entrada"/>
    <s v="MATERIAL E"/>
    <n v="4750"/>
    <s v="A VISTA"/>
    <d v="2023-05-10T00:00:00"/>
    <n v="4750"/>
    <m/>
    <m/>
    <m/>
    <m/>
    <m/>
    <m/>
  </r>
  <r>
    <s v="40149178"/>
    <s v="CyberSphere Innovations"/>
    <d v="2023-08-29T00:00:00"/>
    <x v="7"/>
    <x v="0"/>
    <s v="63.456.789/0001-23"/>
    <s v="Saída"/>
    <s v="Consultoria"/>
    <n v="-5572"/>
    <s v="1+1"/>
    <d v="2023-08-30T00:00:00"/>
    <n v="-2786"/>
    <d v="2023-09-28T00:00:00"/>
    <n v="-2786"/>
    <m/>
    <m/>
    <m/>
    <m/>
  </r>
  <r>
    <s v="3712757"/>
    <s v="HorizonEcho Group"/>
    <d v="2023-12-24T00:00:00"/>
    <x v="9"/>
    <x v="0"/>
    <s v="78.901.234/0001-78"/>
    <s v="Entrada"/>
    <s v="MATERIAL B"/>
    <n v="2758"/>
    <s v="1+1"/>
    <d v="2023-12-25T00:00:00"/>
    <n v="1379"/>
    <d v="2024-01-23T00:00:00"/>
    <n v="1379"/>
    <m/>
    <m/>
    <m/>
    <m/>
  </r>
  <r>
    <s v="7103160"/>
    <s v="VortexLeaf Dynamics"/>
    <d v="2024-08-22T00:00:00"/>
    <x v="7"/>
    <x v="1"/>
    <s v="18.901.234/0001-78"/>
    <s v="Entrada"/>
    <s v="MATERIAL D"/>
    <n v="5783"/>
    <s v="1+2"/>
    <d v="2024-08-23T00:00:00"/>
    <n v="1927.6666666666667"/>
    <d v="2024-09-21T00:00:00"/>
    <n v="1927.6666666666667"/>
    <d v="2024-10-06T00:00:00"/>
    <n v="1927.6666666666667"/>
    <m/>
    <m/>
  </r>
  <r>
    <s v="297967"/>
    <s v="VortexLeaf Dynamics"/>
    <d v="2023-11-30T00:00:00"/>
    <x v="10"/>
    <x v="0"/>
    <s v="18.901.234/0001-78"/>
    <s v="Entrada"/>
    <s v="MATERIAL D"/>
    <n v="1013"/>
    <s v="A VISTA"/>
    <d v="2023-12-01T00:00:00"/>
    <n v="1013"/>
    <m/>
    <m/>
    <m/>
    <m/>
    <m/>
    <m/>
  </r>
  <r>
    <s v="30102206"/>
    <s v="HorizonEcho Group"/>
    <d v="2023-09-12T00:00:00"/>
    <x v="5"/>
    <x v="0"/>
    <s v="78.901.234/0001-78"/>
    <s v="Entrada"/>
    <s v="MATERIAL B"/>
    <n v="1296"/>
    <s v="1+2"/>
    <d v="2023-09-13T00:00:00"/>
    <n v="432"/>
    <d v="2023-10-12T00:00:00"/>
    <n v="432"/>
    <d v="2023-10-27T00:00:00"/>
    <n v="432"/>
    <m/>
    <m/>
  </r>
  <r>
    <s v="2490245"/>
    <s v="VortexLeaf Dynamics"/>
    <d v="2023-07-26T00:00:00"/>
    <x v="6"/>
    <x v="0"/>
    <s v="18.901.234/0001-78"/>
    <s v="Entrada"/>
    <s v="MATERIAL D"/>
    <n v="3437"/>
    <s v="1+3"/>
    <d v="2023-07-27T00:00:00"/>
    <n v="859.25"/>
    <d v="2023-08-25T00:00:00"/>
    <n v="859.25"/>
    <d v="2023-09-09T00:00:00"/>
    <n v="859.25"/>
    <d v="2023-09-24T00:00:00"/>
    <n v="859.25"/>
  </r>
  <r>
    <s v="121323"/>
    <s v="BlueWave Networks"/>
    <d v="2024-02-26T00:00:00"/>
    <x v="4"/>
    <x v="1"/>
    <s v="22.345.678/0001-56"/>
    <s v="Saída"/>
    <s v="Pagamentos ADMs"/>
    <n v="-4535"/>
    <s v="1+2"/>
    <d v="2024-02-27T00:00:00"/>
    <n v="-1511.6666666666667"/>
    <d v="2024-03-27T00:00:00"/>
    <n v="-1511.6666666666667"/>
    <d v="2024-04-11T00:00:00"/>
    <n v="-1511.6666666666667"/>
    <m/>
    <m/>
  </r>
  <r>
    <s v="346752"/>
    <s v="BlueWave Networks"/>
    <d v="2023-06-13T00:00:00"/>
    <x v="2"/>
    <x v="0"/>
    <s v="22.345.678/0001-56"/>
    <s v="Saída"/>
    <s v="Pagamentos ADMs"/>
    <n v="-6258"/>
    <s v="1+2"/>
    <d v="2023-06-14T00:00:00"/>
    <n v="-2086"/>
    <d v="2023-07-13T00:00:00"/>
    <n v="-2086"/>
    <d v="2023-07-28T00:00:00"/>
    <n v="-2086"/>
    <m/>
    <m/>
  </r>
  <r>
    <s v="413053"/>
    <s v="SilverPulse Ventures"/>
    <d v="2024-06-20T00:00:00"/>
    <x v="2"/>
    <x v="1"/>
    <s v="42.345.678/0001-56"/>
    <s v="Saída"/>
    <s v="Consultoria"/>
    <n v="-9865"/>
    <s v="1+2"/>
    <d v="2024-06-21T00:00:00"/>
    <n v="-3288.3333333333335"/>
    <d v="2024-07-20T00:00:00"/>
    <n v="-3288.3333333333335"/>
    <d v="2024-08-04T00:00:00"/>
    <n v="-3288.3333333333335"/>
    <m/>
    <m/>
  </r>
  <r>
    <s v="318786"/>
    <s v="CrimsonCrest Dynamics"/>
    <d v="2023-12-07T00:00:00"/>
    <x v="9"/>
    <x v="0"/>
    <s v="66.789.012/0001-34"/>
    <s v="Saída"/>
    <s v="Factoring Fee"/>
    <n v="-3344"/>
    <s v="1+1"/>
    <d v="2023-12-08T00:00:00"/>
    <n v="-1672"/>
    <d v="2024-01-06T00:00:00"/>
    <n v="-1672"/>
    <m/>
    <m/>
    <m/>
    <m/>
  </r>
  <r>
    <s v="197522"/>
    <s v="TitanEdge Enterprises"/>
    <d v="2023-09-30T00:00:00"/>
    <x v="5"/>
    <x v="0"/>
    <s v="44.567.890/0001-90"/>
    <s v="Entrada"/>
    <s v="MATERIAL E"/>
    <n v="3488"/>
    <s v="1+3"/>
    <d v="2023-10-01T00:00:00"/>
    <n v="872"/>
    <d v="2023-10-30T00:00:00"/>
    <n v="872"/>
    <d v="2023-11-14T00:00:00"/>
    <n v="872"/>
    <d v="2023-11-29T00:00:00"/>
    <n v="872"/>
  </r>
  <r>
    <s v="20111207"/>
    <s v="BrightWave Technologies"/>
    <d v="2024-03-17T00:00:00"/>
    <x v="8"/>
    <x v="1"/>
    <s v="52.345.678/0001-56"/>
    <s v="Entrada"/>
    <s v="MATERIAL A"/>
    <n v="6517"/>
    <s v="1+3"/>
    <d v="2024-03-18T00:00:00"/>
    <n v="1629.25"/>
    <d v="2024-04-16T00:00:00"/>
    <n v="1629.25"/>
    <d v="2024-05-01T00:00:00"/>
    <n v="1629.25"/>
    <d v="2024-05-16T00:00:00"/>
    <n v="1629.25"/>
  </r>
  <r>
    <s v="5511239"/>
    <s v="OmniGlobe Enterprises"/>
    <d v="2024-04-18T00:00:00"/>
    <x v="11"/>
    <x v="1"/>
    <s v="23.456.789/0001-23"/>
    <s v="Entrada"/>
    <s v="MATERIAL E"/>
    <n v="4114"/>
    <s v="1+2"/>
    <d v="2024-04-19T00:00:00"/>
    <n v="1371.3333333333333"/>
    <d v="2024-05-18T00:00:00"/>
    <n v="1371.3333333333333"/>
    <d v="2024-06-02T00:00:00"/>
    <n v="1371.3333333333333"/>
    <m/>
    <m/>
  </r>
  <r>
    <s v="583817"/>
    <s v="StellarCore Systems"/>
    <d v="2024-02-16T00:00:00"/>
    <x v="4"/>
    <x v="1"/>
    <s v="96.789.012/0001-34"/>
    <s v="Estornos"/>
    <s v="EXTRAVIADO"/>
    <n v="5034"/>
    <s v="A VISTA"/>
    <d v="2024-02-17T00:00:00"/>
    <n v="5034"/>
    <m/>
    <m/>
    <m/>
    <m/>
    <m/>
    <m/>
  </r>
  <r>
    <s v="366553"/>
    <s v="VortexDynamics Inc."/>
    <d v="2023-12-23T00:00:00"/>
    <x v="9"/>
    <x v="0"/>
    <s v="56.789.012/0001-34"/>
    <s v="Saída"/>
    <s v="Impostos"/>
    <n v="-3245"/>
    <s v="1+3"/>
    <d v="2023-12-24T00:00:00"/>
    <n v="-811.25"/>
    <d v="2024-01-22T00:00:00"/>
    <n v="-811.25"/>
    <d v="2024-02-06T00:00:00"/>
    <n v="-811.25"/>
    <d v="2024-02-21T00:00:00"/>
    <n v="-811.25"/>
  </r>
  <r>
    <s v="769526"/>
    <s v="InfinitySky Labs"/>
    <d v="2024-04-29T00:00:00"/>
    <x v="11"/>
    <x v="1"/>
    <s v="75.678.901/0001-67"/>
    <s v="Estornos"/>
    <s v="EXTRAVIADO"/>
    <n v="8733"/>
    <s v="A VISTA"/>
    <d v="2024-04-30T00:00:00"/>
    <n v="8733"/>
    <m/>
    <m/>
    <m/>
    <m/>
    <m/>
    <m/>
  </r>
  <r>
    <s v="972539"/>
    <s v="NovaSphere Industries"/>
    <d v="2024-01-01T00:00:00"/>
    <x v="0"/>
    <x v="1"/>
    <s v="99.012.345/0001-45"/>
    <s v="Entrada"/>
    <s v="MATERIAL B"/>
    <n v="7791"/>
    <s v="1+2"/>
    <d v="2024-01-02T00:00:00"/>
    <n v="2597"/>
    <d v="2024-01-31T00:00:00"/>
    <n v="2597"/>
    <d v="2024-02-15T00:00:00"/>
    <n v="2597"/>
    <m/>
    <m/>
  </r>
  <r>
    <s v="8451156"/>
    <s v="LuminaCore Systems"/>
    <d v="2024-01-18T00:00:00"/>
    <x v="0"/>
    <x v="1"/>
    <s v="90.123.456/0001-12"/>
    <s v="Saída"/>
    <s v="Consultoria"/>
    <n v="-7219"/>
    <s v="1+2"/>
    <d v="2024-01-19T00:00:00"/>
    <n v="-2406.3333333333335"/>
    <d v="2024-02-17T00:00:00"/>
    <n v="-2406.3333333333335"/>
    <d v="2024-03-03T00:00:00"/>
    <n v="-2406.3333333333335"/>
    <m/>
    <m/>
  </r>
  <r>
    <s v="4738199"/>
    <s v="QuantumStream Corp."/>
    <d v="2024-06-09T00:00:00"/>
    <x v="2"/>
    <x v="1"/>
    <s v="30.123.456/0001-12"/>
    <s v="Entrada"/>
    <s v="MATERIAL D"/>
    <n v="8725"/>
    <s v="1+3"/>
    <d v="2024-06-10T00:00:00"/>
    <n v="2181.25"/>
    <d v="2024-07-09T00:00:00"/>
    <n v="2181.25"/>
    <d v="2024-07-24T00:00:00"/>
    <n v="2181.25"/>
    <d v="2024-08-08T00:00:00"/>
    <n v="2181.25"/>
  </r>
  <r>
    <s v="3011765"/>
    <s v="StellarCore Systems"/>
    <d v="2023-10-22T00:00:00"/>
    <x v="3"/>
    <x v="0"/>
    <s v="96.789.012/0001-34"/>
    <s v="Estornos"/>
    <s v="EXTRAVIADO"/>
    <n v="4117"/>
    <s v="A VISTA"/>
    <d v="2023-10-23T00:00:00"/>
    <n v="4117"/>
    <m/>
    <m/>
    <m/>
    <m/>
    <m/>
    <m/>
  </r>
  <r>
    <s v="803266"/>
    <s v="TerraVista Holdings"/>
    <d v="2023-10-25T00:00:00"/>
    <x v="3"/>
    <x v="0"/>
    <s v="45.678.901/0001-67"/>
    <s v="Saída"/>
    <s v="Factoring Fee"/>
    <n v="-3894"/>
    <s v="1+1"/>
    <d v="2023-10-26T00:00:00"/>
    <n v="-1947"/>
    <d v="2023-11-24T00:00:00"/>
    <n v="-1947"/>
    <m/>
    <m/>
    <m/>
    <m/>
  </r>
  <r>
    <s v="5512918"/>
    <s v="QuantumWave Industries"/>
    <d v="2024-03-17T00:00:00"/>
    <x v="8"/>
    <x v="1"/>
    <s v="12.345.678/0001-56"/>
    <s v="Estornos"/>
    <s v="EXTRAVIADO"/>
    <n v="8800"/>
    <s v="A VISTA"/>
    <d v="2024-03-18T00:00:00"/>
    <n v="8800"/>
    <m/>
    <m/>
    <m/>
    <m/>
    <m/>
    <m/>
  </r>
  <r>
    <s v="818167"/>
    <s v="QuantumPulse LLC"/>
    <d v="2023-10-09T00:00:00"/>
    <x v="3"/>
    <x v="0"/>
    <s v="32.345.678/0001-56"/>
    <s v="Entrada"/>
    <s v="MATERIAL C"/>
    <n v="6917"/>
    <s v="1+2"/>
    <d v="2023-10-10T00:00:00"/>
    <n v="2305.6666666666665"/>
    <d v="2023-11-08T00:00:00"/>
    <n v="2305.6666666666665"/>
    <d v="2023-11-23T00:00:00"/>
    <n v="2305.6666666666665"/>
    <m/>
    <m/>
  </r>
  <r>
    <s v="82107185"/>
    <s v="StellarFusion Corp."/>
    <d v="2024-09-02T00:00:00"/>
    <x v="5"/>
    <x v="1"/>
    <s v="01.234.567/0001-89"/>
    <s v="Saída"/>
    <s v="Pagamentos ADMs"/>
    <n v="-7098"/>
    <s v="1+1"/>
    <d v="2024-09-03T00:00:00"/>
    <n v="-3549"/>
    <d v="2024-10-02T00:00:00"/>
    <n v="-3549"/>
    <m/>
    <m/>
    <m/>
    <m/>
  </r>
  <r>
    <s v="783100"/>
    <s v="LuminaCore Systems"/>
    <d v="2024-04-13T00:00:00"/>
    <x v="11"/>
    <x v="1"/>
    <s v="90.123.456/0001-12"/>
    <s v="Saída"/>
    <s v="Consultoria"/>
    <n v="-7136"/>
    <s v="1+1"/>
    <d v="2024-04-14T00:00:00"/>
    <n v="-3568"/>
    <d v="2024-05-13T00:00:00"/>
    <n v="-3568"/>
    <m/>
    <m/>
    <m/>
    <m/>
  </r>
  <r>
    <s v="7828186"/>
    <s v="LuminaWave Innovations"/>
    <d v="2023-07-26T00:00:00"/>
    <x v="6"/>
    <x v="0"/>
    <s v="31.234.567/0001-89"/>
    <s v="Entrada"/>
    <s v="MATERIAL A"/>
    <n v="9829"/>
    <s v="1+3"/>
    <d v="2023-07-27T00:00:00"/>
    <n v="2457.25"/>
    <d v="2023-08-25T00:00:00"/>
    <n v="2457.25"/>
    <d v="2023-09-09T00:00:00"/>
    <n v="2457.25"/>
    <d v="2023-09-24T00:00:00"/>
    <n v="2457.25"/>
  </r>
  <r>
    <s v="764295"/>
    <s v="QuantumStream Corp."/>
    <d v="2024-06-05T00:00:00"/>
    <x v="2"/>
    <x v="1"/>
    <s v="30.123.456/0001-12"/>
    <s v="Entrada"/>
    <s v="MATERIAL D"/>
    <n v="3126"/>
    <s v="A VISTA"/>
    <d v="2024-06-06T00:00:00"/>
    <n v="3126"/>
    <m/>
    <m/>
    <m/>
    <m/>
    <m/>
    <m/>
  </r>
  <r>
    <s v="26120222"/>
    <s v="CrimsonCrest Dynamics"/>
    <d v="2024-07-01T00:00:00"/>
    <x v="6"/>
    <x v="1"/>
    <s v="66.789.012/0001-34"/>
    <s v="Saída"/>
    <s v="Factoring Fee"/>
    <n v="-567"/>
    <s v="1+2"/>
    <d v="2024-07-02T00:00:00"/>
    <n v="-189"/>
    <d v="2024-07-31T00:00:00"/>
    <n v="-189"/>
    <d v="2024-08-15T00:00:00"/>
    <n v="-189"/>
    <m/>
    <m/>
  </r>
  <r>
    <s v="38144173"/>
    <s v="ZenithStream Technologies"/>
    <d v="2023-07-27T00:00:00"/>
    <x v="6"/>
    <x v="0"/>
    <s v="77.890.123/0001-01"/>
    <s v="Saída"/>
    <s v="Impostos"/>
    <n v="-6718"/>
    <s v="1+1"/>
    <d v="2023-07-28T00:00:00"/>
    <n v="-3359"/>
    <d v="2023-08-26T00:00:00"/>
    <n v="-3359"/>
    <m/>
    <m/>
    <m/>
    <m/>
  </r>
  <r>
    <s v="2011895"/>
    <s v="TerraPeak Enterprises"/>
    <d v="2024-04-10T00:00:00"/>
    <x v="11"/>
    <x v="1"/>
    <s v="41.234.567/0001-89"/>
    <s v="Entrada"/>
    <s v="MATERIAL B"/>
    <n v="2248"/>
    <s v="1+3"/>
    <d v="2024-04-11T00:00:00"/>
    <n v="562"/>
    <d v="2024-05-10T00:00:00"/>
    <n v="562"/>
    <d v="2024-05-25T00:00:00"/>
    <n v="562"/>
    <d v="2024-06-09T00:00:00"/>
    <n v="562"/>
  </r>
  <r>
    <s v="54137150"/>
    <s v="QuantumPulse LLC"/>
    <d v="2024-02-20T00:00:00"/>
    <x v="4"/>
    <x v="1"/>
    <s v="32.345.678/0001-56"/>
    <s v="Entrada"/>
    <s v="MATERIAL C"/>
    <n v="1279"/>
    <s v="1+1"/>
    <d v="2024-02-21T00:00:00"/>
    <n v="639.5"/>
    <d v="2024-03-21T00:00:00"/>
    <n v="639.5"/>
    <m/>
    <m/>
    <m/>
    <m/>
  </r>
  <r>
    <s v="5110046"/>
    <s v="InfinitySky Labs"/>
    <d v="2023-10-07T00:00:00"/>
    <x v="3"/>
    <x v="0"/>
    <s v="75.678.901/0001-67"/>
    <s v="Estornos"/>
    <s v="EXTRAVIADO"/>
    <n v="5377"/>
    <s v="A VISTA"/>
    <d v="2023-10-08T00:00:00"/>
    <n v="5377"/>
    <m/>
    <m/>
    <m/>
    <m/>
    <m/>
    <m/>
  </r>
  <r>
    <s v="24131149"/>
    <s v="SilverStone Ventures"/>
    <d v="2023-10-04T00:00:00"/>
    <x v="3"/>
    <x v="0"/>
    <s v="89.012.345/0001-45"/>
    <s v="Entrada"/>
    <s v="MATERIAL A"/>
    <n v="8289"/>
    <s v="A VISTA"/>
    <d v="2023-10-05T00:00:00"/>
    <n v="8289"/>
    <m/>
    <m/>
    <m/>
    <m/>
    <m/>
    <m/>
  </r>
  <r>
    <s v="16121146"/>
    <s v="QuantumPulse LLC"/>
    <d v="2023-08-30T00:00:00"/>
    <x v="7"/>
    <x v="0"/>
    <s v="32.345.678/0001-56"/>
    <s v="Entrada"/>
    <s v="MATERIAL C"/>
    <n v="1910"/>
    <s v="1+1"/>
    <d v="2023-08-31T00:00:00"/>
    <n v="955"/>
    <d v="2023-09-29T00:00:00"/>
    <n v="955"/>
    <m/>
    <m/>
    <m/>
    <m/>
  </r>
  <r>
    <s v="28519"/>
    <s v="StellarFusion Corp."/>
    <d v="2024-01-09T00:00:00"/>
    <x v="0"/>
    <x v="1"/>
    <s v="01.234.567/0001-89"/>
    <s v="Saída"/>
    <s v="Pagamentos ADMs"/>
    <n v="-5586"/>
    <s v="1+1"/>
    <d v="2024-01-10T00:00:00"/>
    <n v="-2793"/>
    <d v="2024-02-08T00:00:00"/>
    <n v="-2793"/>
    <m/>
    <m/>
    <m/>
    <m/>
  </r>
  <r>
    <s v="6178158"/>
    <s v="ApexNexus Innovations"/>
    <d v="2024-03-26T00:00:00"/>
    <x v="8"/>
    <x v="1"/>
    <s v="34.567.890/0001-90"/>
    <s v="Estornos"/>
    <s v="ENVIO INCORRETO"/>
    <n v="6304"/>
    <s v="A VISTA"/>
    <d v="2024-03-27T00:00:00"/>
    <n v="6304"/>
    <m/>
    <m/>
    <m/>
    <m/>
    <m/>
    <m/>
  </r>
  <r>
    <s v="379725"/>
    <s v="CyberLink Corporation"/>
    <d v="2023-11-30T00:00:00"/>
    <x v="10"/>
    <x v="0"/>
    <s v="21.234.567/0001-89"/>
    <s v="Saída"/>
    <s v="Consultoria"/>
    <n v="-9891"/>
    <s v="1+2"/>
    <d v="2023-12-01T00:00:00"/>
    <n v="-3297"/>
    <d v="2023-12-30T00:00:00"/>
    <n v="-3297"/>
    <d v="2024-01-14T00:00:00"/>
    <n v="-3297"/>
    <m/>
    <m/>
  </r>
  <r>
    <s v="7176110"/>
    <s v="QuantumEcho Labs"/>
    <d v="2023-08-26T00:00:00"/>
    <x v="7"/>
    <x v="0"/>
    <s v="74.567.890/0001-90"/>
    <s v="Entrada"/>
    <s v="MATERIAL C"/>
    <n v="6316"/>
    <s v="1+3"/>
    <d v="2023-08-27T00:00:00"/>
    <n v="1579"/>
    <d v="2023-09-25T00:00:00"/>
    <n v="1579"/>
    <d v="2023-10-10T00:00:00"/>
    <n v="1579"/>
    <d v="2023-10-25T00:00:00"/>
    <n v="1579"/>
  </r>
  <r>
    <s v="32126101"/>
    <s v="StellarFusion Corp."/>
    <d v="2023-08-13T00:00:00"/>
    <x v="7"/>
    <x v="0"/>
    <s v="01.234.567/0001-89"/>
    <s v="Saída"/>
    <s v="Pagamentos ADMs"/>
    <n v="-564"/>
    <s v="1+3"/>
    <d v="2023-08-14T00:00:00"/>
    <n v="-141"/>
    <d v="2023-09-12T00:00:00"/>
    <n v="-141"/>
    <d v="2023-09-27T00:00:00"/>
    <n v="-141"/>
    <d v="2023-10-12T00:00:00"/>
    <n v="-141"/>
  </r>
  <r>
    <s v="2843217"/>
    <s v="HorizonNexus Corp."/>
    <d v="2024-03-31T00:00:00"/>
    <x v="8"/>
    <x v="1"/>
    <s v="09.012.345/0001-45"/>
    <s v="Entrada"/>
    <s v="MATERIAL D"/>
    <n v="6948"/>
    <s v="1+2"/>
    <d v="2024-04-01T00:00:00"/>
    <n v="2316"/>
    <d v="2024-04-30T00:00:00"/>
    <n v="2316"/>
    <d v="2024-05-15T00:00:00"/>
    <n v="2316"/>
    <m/>
    <m/>
  </r>
  <r>
    <s v="83149247"/>
    <s v="RadiantSky Labs"/>
    <d v="2024-03-18T00:00:00"/>
    <x v="8"/>
    <x v="1"/>
    <s v="33.456.789/0001-23"/>
    <s v="Estornos"/>
    <s v="EXTRAVIADO"/>
    <n v="1836"/>
    <s v="A VISTA"/>
    <d v="2024-03-19T00:00:00"/>
    <n v="1836"/>
    <m/>
    <m/>
    <m/>
    <m/>
    <m/>
    <m/>
  </r>
  <r>
    <s v="3412106"/>
    <s v="LuminaWave Innovations"/>
    <d v="2024-01-28T00:00:00"/>
    <x v="0"/>
    <x v="1"/>
    <s v="31.234.567/0001-89"/>
    <s v="Entrada"/>
    <s v="MATERIAL A"/>
    <n v="9553"/>
    <s v="A VISTA"/>
    <d v="2024-01-29T00:00:00"/>
    <n v="9553"/>
    <m/>
    <m/>
    <m/>
    <m/>
    <m/>
    <m/>
  </r>
  <r>
    <s v="332566"/>
    <s v="ApexSphere Enterprises"/>
    <d v="2023-08-31T00:00:00"/>
    <x v="7"/>
    <x v="0"/>
    <s v="65.678.901/0001-67"/>
    <s v="Entrada"/>
    <s v="MATERIAL E"/>
    <n v="7858"/>
    <s v="1+1"/>
    <d v="2023-09-01T00:00:00"/>
    <n v="3929"/>
    <d v="2023-09-30T00:00:00"/>
    <n v="3929"/>
    <m/>
    <m/>
    <m/>
    <m/>
  </r>
  <r>
    <s v="52145124"/>
    <s v="ApexNexus Innovations"/>
    <d v="2023-12-12T00:00:00"/>
    <x v="9"/>
    <x v="0"/>
    <s v="34.567.890/0001-90"/>
    <s v="Estornos"/>
    <s v="ENVIO INCORRETO"/>
    <n v="1293"/>
    <s v="A VISTA"/>
    <d v="2023-12-13T00:00:00"/>
    <n v="1293"/>
    <m/>
    <m/>
    <m/>
    <m/>
    <m/>
    <m/>
  </r>
  <r>
    <s v="402273"/>
    <s v="CyberLink Corporation"/>
    <d v="2024-06-03T00:00:00"/>
    <x v="2"/>
    <x v="1"/>
    <s v="21.234.567/0001-89"/>
    <s v="Saída"/>
    <s v="Consultoria"/>
    <n v="-5598"/>
    <s v="1+3"/>
    <d v="2024-06-04T00:00:00"/>
    <n v="-1399.5"/>
    <d v="2024-07-03T00:00:00"/>
    <n v="-1399.5"/>
    <d v="2024-07-18T00:00:00"/>
    <n v="-1399.5"/>
    <d v="2024-08-02T00:00:00"/>
    <n v="-1399.5"/>
  </r>
  <r>
    <s v="459414"/>
    <s v="ApexNexus Innovations"/>
    <d v="2023-08-13T00:00:00"/>
    <x v="7"/>
    <x v="0"/>
    <s v="34.567.890/0001-90"/>
    <s v="Estornos"/>
    <s v="ENVIO INCORRETO"/>
    <n v="3434"/>
    <s v="A VISTA"/>
    <d v="2023-08-14T00:00:00"/>
    <n v="3434"/>
    <m/>
    <m/>
    <m/>
    <m/>
    <m/>
    <m/>
  </r>
  <r>
    <s v="8530209"/>
    <s v="FusionPeak Technologies"/>
    <d v="2023-08-28T00:00:00"/>
    <x v="7"/>
    <x v="0"/>
    <s v="67.890.123/0001-01"/>
    <s v="Entrada"/>
    <s v="MATERIAL D"/>
    <n v="8864"/>
    <s v="1+2"/>
    <d v="2023-08-29T00:00:00"/>
    <n v="2954.6666666666665"/>
    <d v="2023-09-27T00:00:00"/>
    <n v="2954.6666666666665"/>
    <d v="2023-10-12T00:00:00"/>
    <n v="2954.6666666666665"/>
    <m/>
    <m/>
  </r>
  <r>
    <s v="8351175"/>
    <s v="RadiantVista Holdings"/>
    <d v="2023-07-28T00:00:00"/>
    <x v="6"/>
    <x v="0"/>
    <s v="20.123.456/0001-12"/>
    <s v="Entrada"/>
    <s v="MATERIAL B"/>
    <n v="6331"/>
    <s v="A VISTA"/>
    <d v="2023-07-29T00:00:00"/>
    <n v="6331"/>
    <m/>
    <m/>
    <m/>
    <m/>
    <m/>
    <m/>
  </r>
  <r>
    <s v="302522"/>
    <s v="QuantumWave Industries"/>
    <d v="2023-09-06T00:00:00"/>
    <x v="5"/>
    <x v="0"/>
    <s v="12.345.678/0001-56"/>
    <s v="Estornos"/>
    <s v="EXTRAVIADO"/>
    <n v="3309"/>
    <s v="A VISTA"/>
    <d v="2023-09-07T00:00:00"/>
    <n v="3309"/>
    <m/>
    <m/>
    <m/>
    <m/>
    <m/>
    <m/>
  </r>
  <r>
    <s v="9913520"/>
    <s v="ElevatePulse LLC"/>
    <d v="2023-07-10T00:00:00"/>
    <x v="6"/>
    <x v="0"/>
    <s v="85.678.901/0001-67"/>
    <s v="Saída"/>
    <s v="Pagamentos ADMs"/>
    <n v="-7742"/>
    <s v="1+2"/>
    <d v="2023-07-11T00:00:00"/>
    <n v="-2580.6666666666665"/>
    <d v="2023-08-09T00:00:00"/>
    <n v="-2580.6666666666665"/>
    <d v="2023-08-24T00:00:00"/>
    <n v="-2580.6666666666665"/>
    <m/>
    <m/>
  </r>
  <r>
    <s v="1212910"/>
    <s v="ElevatePulse LLC"/>
    <d v="2023-05-05T00:00:00"/>
    <x v="1"/>
    <x v="0"/>
    <s v="85.678.901/0001-67"/>
    <s v="Saída"/>
    <s v="Pagamentos ADMs"/>
    <n v="-8698"/>
    <s v="1+2"/>
    <d v="2023-05-06T00:00:00"/>
    <n v="-2899.3333333333335"/>
    <d v="2023-06-04T00:00:00"/>
    <n v="-2899.3333333333335"/>
    <d v="2023-06-19T00:00:00"/>
    <n v="-2899.3333333333335"/>
    <m/>
    <m/>
  </r>
  <r>
    <s v="806206"/>
    <s v="FusionVista Ventures"/>
    <d v="2023-08-15T00:00:00"/>
    <x v="7"/>
    <x v="0"/>
    <s v="07.890.123/0001-01"/>
    <s v="Entrada"/>
    <s v="MATERIAL E"/>
    <n v="1002"/>
    <s v="1+2"/>
    <d v="2023-08-16T00:00:00"/>
    <n v="334"/>
    <d v="2023-09-14T00:00:00"/>
    <n v="334"/>
    <d v="2023-09-29T00:00:00"/>
    <n v="334"/>
    <m/>
    <m/>
  </r>
  <r>
    <s v="8710160"/>
    <s v="AeroMatrix Solutions"/>
    <d v="2024-03-04T00:00:00"/>
    <x v="8"/>
    <x v="1"/>
    <s v="88.901.234/0001-78"/>
    <s v="Entrada"/>
    <s v="MATERIAL D"/>
    <n v="5390"/>
    <s v="A VISTA"/>
    <d v="2024-03-05T00:00:00"/>
    <n v="5390"/>
    <m/>
    <m/>
    <m/>
    <m/>
    <m/>
    <m/>
  </r>
  <r>
    <s v="22146121"/>
    <s v="VortexLeaf Dynamics"/>
    <d v="2023-08-20T00:00:00"/>
    <x v="7"/>
    <x v="0"/>
    <s v="18.901.234/0001-78"/>
    <s v="Entrada"/>
    <s v="MATERIAL D"/>
    <n v="8316"/>
    <s v="1+1"/>
    <d v="2023-08-21T00:00:00"/>
    <n v="4158"/>
    <d v="2023-09-19T00:00:00"/>
    <n v="4158"/>
    <m/>
    <m/>
    <m/>
    <m/>
  </r>
  <r>
    <s v="245343"/>
    <s v="ApexNexus Innovations"/>
    <d v="2023-10-08T00:00:00"/>
    <x v="3"/>
    <x v="0"/>
    <s v="34.567.890/0001-90"/>
    <s v="Estornos"/>
    <s v="ENVIO INCORRETO"/>
    <n v="3139"/>
    <s v="A VISTA"/>
    <d v="2023-10-09T00:00:00"/>
    <n v="3139"/>
    <m/>
    <m/>
    <m/>
    <m/>
    <m/>
    <m/>
  </r>
  <r>
    <s v="2654155"/>
    <s v="StellarFusion Corp."/>
    <d v="2023-12-14T00:00:00"/>
    <x v="9"/>
    <x v="0"/>
    <s v="01.234.567/0001-89"/>
    <s v="Saída"/>
    <s v="Pagamentos ADMs"/>
    <n v="-2373"/>
    <s v="A VISTA"/>
    <d v="2023-12-15T00:00:00"/>
    <n v="-2373"/>
    <m/>
    <m/>
    <m/>
    <m/>
    <m/>
    <m/>
  </r>
  <r>
    <s v="82134241"/>
    <s v="ZenithStream Technologies"/>
    <d v="2023-07-07T00:00:00"/>
    <x v="6"/>
    <x v="0"/>
    <s v="77.890.123/0001-01"/>
    <s v="Saída"/>
    <s v="Impostos"/>
    <n v="-465"/>
    <s v="1+3"/>
    <d v="2023-07-08T00:00:00"/>
    <n v="-116.25"/>
    <d v="2023-08-06T00:00:00"/>
    <n v="-116.25"/>
    <d v="2023-08-21T00:00:00"/>
    <n v="-116.25"/>
    <d v="2023-09-05T00:00:00"/>
    <n v="-116.25"/>
  </r>
  <r>
    <s v="924128"/>
    <s v="TitanEdge Enterprises"/>
    <d v="2024-02-25T00:00:00"/>
    <x v="4"/>
    <x v="1"/>
    <s v="44.567.890/0001-90"/>
    <s v="Entrada"/>
    <s v="MATERIAL E"/>
    <n v="3828"/>
    <s v="1+3"/>
    <d v="2024-02-26T00:00:00"/>
    <n v="957"/>
    <d v="2024-03-26T00:00:00"/>
    <n v="957"/>
    <d v="2024-04-10T00:00:00"/>
    <n v="957"/>
    <d v="2024-04-25T00:00:00"/>
    <n v="957"/>
  </r>
  <r>
    <s v="746861"/>
    <s v="TitanFusion Power"/>
    <d v="2024-02-15T00:00:00"/>
    <x v="4"/>
    <x v="1"/>
    <s v="86.789.012/0001-34"/>
    <s v="Entrada"/>
    <s v="MATERIAL E"/>
    <n v="3075"/>
    <s v="A VISTA"/>
    <d v="2024-02-16T00:00:00"/>
    <n v="3075"/>
    <m/>
    <m/>
    <m/>
    <m/>
    <m/>
    <m/>
  </r>
  <r>
    <s v="96106186"/>
    <s v="TerraFusion Industries"/>
    <d v="2024-06-22T00:00:00"/>
    <x v="2"/>
    <x v="1"/>
    <s v="54.567.890/0001-90"/>
    <s v="Estornos"/>
    <s v="EXTRAVIADO"/>
    <n v="9709"/>
    <s v="A VISTA"/>
    <d v="2024-06-23T00:00:00"/>
    <n v="9709"/>
    <m/>
    <m/>
    <m/>
    <m/>
    <m/>
    <m/>
  </r>
  <r>
    <s v="3080193"/>
    <s v="FusionVista Ventures"/>
    <d v="2023-08-04T00:00:00"/>
    <x v="7"/>
    <x v="0"/>
    <s v="07.890.123/0001-01"/>
    <s v="Entrada"/>
    <s v="MATERIAL E"/>
    <n v="6635"/>
    <s v="1+3"/>
    <d v="2023-08-05T00:00:00"/>
    <n v="1658.75"/>
    <d v="2023-09-03T00:00:00"/>
    <n v="1658.75"/>
    <d v="2023-09-18T00:00:00"/>
    <n v="1658.75"/>
    <d v="2023-10-03T00:00:00"/>
    <n v="1658.75"/>
  </r>
  <r>
    <s v="5312116"/>
    <s v="VortexDynamics Inc."/>
    <d v="2023-10-05T00:00:00"/>
    <x v="3"/>
    <x v="0"/>
    <s v="56.789.012/0001-34"/>
    <s v="Saída"/>
    <s v="Impostos"/>
    <n v="-3765"/>
    <s v="1+2"/>
    <d v="2023-10-06T00:00:00"/>
    <n v="-1255"/>
    <d v="2023-11-04T00:00:00"/>
    <n v="-1255"/>
    <d v="2023-11-19T00:00:00"/>
    <n v="-1255"/>
    <m/>
    <m/>
  </r>
  <r>
    <s v="6463139"/>
    <s v="BrightLeaf Innovations"/>
    <d v="2024-02-17T00:00:00"/>
    <x v="4"/>
    <x v="1"/>
    <s v="10.123.456/0001-12"/>
    <s v="Entrada"/>
    <s v="MATERIAL A"/>
    <n v="4503"/>
    <s v="A VISTA"/>
    <d v="2024-02-18T00:00:00"/>
    <n v="4503"/>
    <m/>
    <m/>
    <m/>
    <m/>
    <m/>
    <m/>
  </r>
  <r>
    <s v="12146234"/>
    <s v="QuantumEcho Labs"/>
    <d v="2024-06-05T00:00:00"/>
    <x v="2"/>
    <x v="1"/>
    <s v="74.567.890/0001-90"/>
    <s v="Entrada"/>
    <s v="MATERIAL C"/>
    <n v="9392"/>
    <s v="1+1"/>
    <d v="2024-06-06T00:00:00"/>
    <n v="4696"/>
    <d v="2024-07-05T00:00:00"/>
    <n v="4696"/>
    <m/>
    <m/>
    <m/>
    <m/>
  </r>
  <r>
    <s v="758694"/>
    <s v="BrightWave Technologies"/>
    <d v="2024-05-13T00:00:00"/>
    <x v="1"/>
    <x v="1"/>
    <s v="52.345.678/0001-56"/>
    <s v="Entrada"/>
    <s v="MATERIAL A"/>
    <n v="9896"/>
    <s v="A VISTA"/>
    <d v="2024-05-14T00:00:00"/>
    <n v="9896"/>
    <m/>
    <m/>
    <m/>
    <m/>
    <m/>
    <m/>
  </r>
  <r>
    <s v="4128136"/>
    <s v="HorizonTech Solutions"/>
    <d v="2024-04-12T00:00:00"/>
    <x v="11"/>
    <x v="1"/>
    <s v="29.012.345/0001-45"/>
    <s v="Entrada"/>
    <s v="MATERIAL B"/>
    <n v="1414"/>
    <s v="A VISTA"/>
    <d v="2024-04-13T00:00:00"/>
    <n v="1414"/>
    <m/>
    <m/>
    <m/>
    <m/>
    <m/>
    <m/>
  </r>
  <r>
    <s v="351440"/>
    <s v="HorizonNexus Corp."/>
    <d v="2024-05-15T00:00:00"/>
    <x v="1"/>
    <x v="1"/>
    <s v="09.012.345/0001-45"/>
    <s v="Entrada"/>
    <s v="MATERIAL D"/>
    <n v="588"/>
    <s v="1+1"/>
    <d v="2024-05-16T00:00:00"/>
    <n v="294"/>
    <d v="2024-06-14T00:00:00"/>
    <n v="294"/>
    <m/>
    <m/>
    <m/>
    <m/>
  </r>
  <r>
    <s v="419914"/>
    <s v="VortexDynamics Inc."/>
    <d v="2024-03-19T00:00:00"/>
    <x v="8"/>
    <x v="1"/>
    <s v="56.789.012/0001-34"/>
    <s v="Saída"/>
    <s v="Impostos"/>
    <n v="-1196"/>
    <s v="1+1"/>
    <d v="2024-03-20T00:00:00"/>
    <n v="-598"/>
    <d v="2024-04-18T00:00:00"/>
    <n v="-598"/>
    <m/>
    <m/>
    <m/>
    <m/>
  </r>
  <r>
    <s v="893021"/>
    <s v="SilverStone Ventures"/>
    <d v="2023-04-25T00:00:00"/>
    <x v="11"/>
    <x v="0"/>
    <s v="89.012.345/0001-45"/>
    <s v="Entrada"/>
    <s v="MATERIAL A"/>
    <n v="3763"/>
    <s v="1+1"/>
    <d v="2023-04-26T00:00:00"/>
    <n v="1881.5"/>
    <d v="2023-05-25T00:00:00"/>
    <n v="1881.5"/>
    <m/>
    <m/>
    <m/>
    <m/>
  </r>
  <r>
    <s v="325596"/>
    <s v="BlueWave Networks"/>
    <d v="2023-10-19T00:00:00"/>
    <x v="3"/>
    <x v="0"/>
    <s v="22.345.678/0001-56"/>
    <s v="Saída"/>
    <s v="Pagamentos ADMs"/>
    <n v="-3158"/>
    <s v="1+3"/>
    <d v="2023-10-20T00:00:00"/>
    <n v="-789.5"/>
    <d v="2023-11-18T00:00:00"/>
    <n v="-789.5"/>
    <d v="2023-12-03T00:00:00"/>
    <n v="-789.5"/>
    <d v="2023-12-18T00:00:00"/>
    <n v="-789.5"/>
  </r>
  <r>
    <s v="6076244"/>
    <s v="OmniCore Systems"/>
    <d v="2024-02-11T00:00:00"/>
    <x v="4"/>
    <x v="1"/>
    <s v="64.567.890/0001-90"/>
    <s v="Saída"/>
    <s v="Pagamentos ADMs"/>
    <n v="-805"/>
    <s v="1+2"/>
    <d v="2024-02-12T00:00:00"/>
    <n v="-268.33333333333331"/>
    <d v="2024-03-12T00:00:00"/>
    <n v="-268.33333333333331"/>
    <d v="2024-03-27T00:00:00"/>
    <n v="-268.33333333333331"/>
    <m/>
    <m/>
  </r>
  <r>
    <s v="61137172"/>
    <s v="HorizonEcho Group"/>
    <d v="2024-06-01T00:00:00"/>
    <x v="2"/>
    <x v="1"/>
    <s v="78.901.234/0001-78"/>
    <s v="Entrada"/>
    <s v="MATERIAL B"/>
    <n v="6988"/>
    <s v="1+1"/>
    <d v="2024-06-02T00:00:00"/>
    <n v="3494"/>
    <d v="2024-07-01T00:00:00"/>
    <n v="3494"/>
    <m/>
    <m/>
    <m/>
    <m/>
  </r>
  <r>
    <s v="2769183"/>
    <s v="VortexLeaf Dynamics"/>
    <d v="2023-09-19T00:00:00"/>
    <x v="5"/>
    <x v="0"/>
    <s v="18.901.234/0001-78"/>
    <s v="Entrada"/>
    <s v="MATERIAL D"/>
    <n v="826"/>
    <s v="1+2"/>
    <d v="2023-09-20T00:00:00"/>
    <n v="275.33333333333331"/>
    <d v="2023-10-19T00:00:00"/>
    <n v="275.33333333333331"/>
    <d v="2023-11-03T00:00:00"/>
    <n v="275.33333333333331"/>
    <m/>
    <m/>
  </r>
  <r>
    <s v="6211014"/>
    <s v="BlueWave Networks"/>
    <d v="2024-04-28T00:00:00"/>
    <x v="11"/>
    <x v="1"/>
    <s v="22.345.678/0001-56"/>
    <s v="Saída"/>
    <s v="Pagamentos ADMs"/>
    <n v="-9423"/>
    <s v="1+1"/>
    <d v="2024-04-29T00:00:00"/>
    <n v="-4711.5"/>
    <d v="2024-05-28T00:00:00"/>
    <n v="-4711.5"/>
    <m/>
    <m/>
    <m/>
    <m/>
  </r>
  <r>
    <s v="7747226"/>
    <s v="CrimsonCrest Dynamics"/>
    <d v="2024-09-08T00:00:00"/>
    <x v="5"/>
    <x v="1"/>
    <s v="66.789.012/0001-34"/>
    <s v="Saída"/>
    <s v="Factoring Fee"/>
    <n v="-568"/>
    <s v="1+2"/>
    <d v="2024-09-09T00:00:00"/>
    <n v="-189.33333333333334"/>
    <d v="2024-10-08T00:00:00"/>
    <n v="-189.33333333333334"/>
    <d v="2024-10-23T00:00:00"/>
    <n v="-189.33333333333334"/>
    <m/>
    <m/>
  </r>
  <r>
    <s v="252366"/>
    <s v="ApexNexus Innovations"/>
    <d v="2024-02-07T00:00:00"/>
    <x v="4"/>
    <x v="1"/>
    <s v="34.567.890/0001-90"/>
    <s v="Estornos"/>
    <s v="ENVIO INCORRETO"/>
    <n v="684"/>
    <s v="A VISTA"/>
    <d v="2024-02-08T00:00:00"/>
    <n v="684"/>
    <m/>
    <m/>
    <m/>
    <m/>
    <m/>
    <m/>
  </r>
  <r>
    <s v="2568243"/>
    <s v="VortexPeak Dynamics"/>
    <d v="2024-07-31T00:00:00"/>
    <x v="6"/>
    <x v="1"/>
    <s v="98.901.234/0001-78"/>
    <s v="Saída"/>
    <s v="Impostos"/>
    <n v="-7836"/>
    <s v="A VISTA"/>
    <d v="2024-08-01T00:00:00"/>
    <n v="-7836"/>
    <m/>
    <m/>
    <m/>
    <m/>
    <m/>
    <m/>
  </r>
  <r>
    <s v="4067108"/>
    <s v="TerraVista Holdings"/>
    <d v="2024-06-17T00:00:00"/>
    <x v="2"/>
    <x v="1"/>
    <s v="45.678.901/0001-67"/>
    <s v="Saída"/>
    <s v="Factoring Fee"/>
    <n v="-2027"/>
    <s v="A VISTA"/>
    <d v="2024-06-18T00:00:00"/>
    <n v="-2027"/>
    <m/>
    <m/>
    <m/>
    <m/>
    <m/>
    <m/>
  </r>
  <r>
    <s v="20148198"/>
    <s v="StellarCore Systems"/>
    <d v="2024-05-09T00:00:00"/>
    <x v="1"/>
    <x v="1"/>
    <s v="96.789.012/0001-34"/>
    <s v="Estornos"/>
    <s v="EXTRAVIADO"/>
    <n v="6089"/>
    <s v="A VISTA"/>
    <d v="2024-05-10T00:00:00"/>
    <n v="6089"/>
    <m/>
    <m/>
    <m/>
    <m/>
    <m/>
    <m/>
  </r>
  <r>
    <s v="96114182"/>
    <s v="BrightLeaf Innovations"/>
    <d v="2024-02-18T00:00:00"/>
    <x v="4"/>
    <x v="1"/>
    <s v="10.123.456/0001-12"/>
    <s v="Entrada"/>
    <s v="MATERIAL A"/>
    <n v="3771"/>
    <s v="1+3"/>
    <d v="2024-02-19T00:00:00"/>
    <n v="942.75"/>
    <d v="2024-03-19T00:00:00"/>
    <n v="942.75"/>
    <d v="2024-04-03T00:00:00"/>
    <n v="942.75"/>
    <d v="2024-04-18T00:00:00"/>
    <n v="942.75"/>
  </r>
  <r>
    <s v="8532115"/>
    <s v="FusionVista Ventures"/>
    <d v="2023-11-20T00:00:00"/>
    <x v="10"/>
    <x v="0"/>
    <s v="07.890.123/0001-01"/>
    <s v="Entrada"/>
    <s v="MATERIAL E"/>
    <n v="8695"/>
    <s v="A VISTA"/>
    <d v="2023-11-21T00:00:00"/>
    <n v="8695"/>
    <m/>
    <m/>
    <m/>
    <m/>
    <m/>
    <m/>
  </r>
  <r>
    <s v="144843"/>
    <s v="FusionPeak Technologies"/>
    <d v="2023-10-06T00:00:00"/>
    <x v="3"/>
    <x v="0"/>
    <s v="67.890.123/0001-01"/>
    <s v="Entrada"/>
    <s v="MATERIAL D"/>
    <n v="3941"/>
    <s v="A VISTA"/>
    <d v="2023-10-07T00:00:00"/>
    <n v="3941"/>
    <m/>
    <m/>
    <m/>
    <m/>
    <m/>
    <m/>
  </r>
  <r>
    <s v="5255136"/>
    <s v="HorizonTech Solutions"/>
    <d v="2023-07-03T00:00:00"/>
    <x v="6"/>
    <x v="0"/>
    <s v="29.012.345/0001-45"/>
    <s v="Entrada"/>
    <s v="MATERIAL B"/>
    <n v="7529"/>
    <s v="1+1"/>
    <d v="2023-07-04T00:00:00"/>
    <n v="3764.5"/>
    <d v="2023-08-02T00:00:00"/>
    <n v="3764.5"/>
    <m/>
    <m/>
    <m/>
    <m/>
  </r>
  <r>
    <s v="51123105"/>
    <s v="AeroMatrix Solutions"/>
    <d v="2023-08-18T00:00:00"/>
    <x v="7"/>
    <x v="0"/>
    <s v="88.901.234/0001-78"/>
    <s v="Entrada"/>
    <s v="MATERIAL D"/>
    <n v="3809"/>
    <s v="1+2"/>
    <d v="2023-08-19T00:00:00"/>
    <n v="1269.6666666666667"/>
    <d v="2023-09-17T00:00:00"/>
    <n v="1269.6666666666667"/>
    <d v="2023-10-02T00:00:00"/>
    <n v="1269.6666666666667"/>
    <m/>
    <m/>
  </r>
  <r>
    <s v="6011474"/>
    <s v="CrimsonCrest Dynamics"/>
    <d v="2023-11-27T00:00:00"/>
    <x v="10"/>
    <x v="0"/>
    <s v="66.789.012/0001-34"/>
    <s v="Saída"/>
    <s v="Factoring Fee"/>
    <n v="-9961"/>
    <s v="1+2"/>
    <d v="2023-11-28T00:00:00"/>
    <n v="-3320.3333333333335"/>
    <d v="2023-12-27T00:00:00"/>
    <n v="-3320.3333333333335"/>
    <d v="2024-01-11T00:00:00"/>
    <n v="-3320.3333333333335"/>
    <m/>
    <m/>
  </r>
  <r>
    <s v="32134162"/>
    <s v="FusionEdge Systems"/>
    <d v="2024-04-13T00:00:00"/>
    <x v="11"/>
    <x v="1"/>
    <s v="87.890.123/0001-01"/>
    <s v="Saída"/>
    <s v="Factoring Fee"/>
    <n v="-3972"/>
    <s v="A VISTA"/>
    <d v="2024-04-14T00:00:00"/>
    <n v="-3972"/>
    <m/>
    <m/>
    <m/>
    <m/>
    <m/>
    <m/>
  </r>
  <r>
    <s v="2254171"/>
    <s v="TerraFusion Industries"/>
    <d v="2023-05-23T00:00:00"/>
    <x v="1"/>
    <x v="0"/>
    <s v="54.567.890/0001-90"/>
    <s v="Estornos"/>
    <s v="EXTRAVIADO"/>
    <n v="4058"/>
    <s v="A VISTA"/>
    <d v="2023-05-24T00:00:00"/>
    <n v="4058"/>
    <m/>
    <m/>
    <m/>
    <m/>
    <m/>
    <m/>
  </r>
  <r>
    <s v="939187"/>
    <s v="LuminaCore Systems"/>
    <d v="2023-11-03T00:00:00"/>
    <x v="10"/>
    <x v="0"/>
    <s v="90.123.456/0001-12"/>
    <s v="Saída"/>
    <s v="Consultoria"/>
    <n v="-6809"/>
    <s v="1+2"/>
    <d v="2023-11-04T00:00:00"/>
    <n v="-2269.6666666666665"/>
    <d v="2023-12-03T00:00:00"/>
    <n v="-2269.6666666666665"/>
    <d v="2023-12-18T00:00:00"/>
    <n v="-2269.6666666666665"/>
    <m/>
    <m/>
  </r>
  <r>
    <s v="4093131"/>
    <s v="VortexDynamics Inc."/>
    <d v="2023-06-02T00:00:00"/>
    <x v="2"/>
    <x v="0"/>
    <s v="56.789.012/0001-34"/>
    <s v="Saída"/>
    <s v="Impostos"/>
    <n v="-4005"/>
    <s v="A VISTA"/>
    <d v="2023-06-03T00:00:00"/>
    <n v="-4005"/>
    <m/>
    <m/>
    <m/>
    <m/>
    <m/>
    <m/>
  </r>
  <r>
    <s v="913332"/>
    <s v="NovaSphere Industries"/>
    <d v="2024-02-25T00:00:00"/>
    <x v="4"/>
    <x v="1"/>
    <s v="99.012.345/0001-45"/>
    <s v="Entrada"/>
    <s v="MATERIAL B"/>
    <n v="7997"/>
    <s v="1+2"/>
    <d v="2024-02-26T00:00:00"/>
    <n v="2665.6666666666665"/>
    <d v="2024-03-26T00:00:00"/>
    <n v="2665.6666666666665"/>
    <d v="2024-04-10T00:00:00"/>
    <n v="2665.6666666666665"/>
    <m/>
    <m/>
  </r>
  <r>
    <s v="2212229"/>
    <s v="BrightWave Technologies"/>
    <d v="2023-12-03T00:00:00"/>
    <x v="9"/>
    <x v="0"/>
    <s v="52.345.678/0001-56"/>
    <s v="Entrada"/>
    <s v="MATERIAL A"/>
    <n v="3814"/>
    <s v="1+2"/>
    <d v="2023-12-04T00:00:00"/>
    <n v="1271.3333333333333"/>
    <d v="2024-01-02T00:00:00"/>
    <n v="1271.3333333333333"/>
    <d v="2024-01-17T00:00:00"/>
    <n v="1271.3333333333333"/>
    <m/>
    <m/>
  </r>
  <r>
    <s v="12135177"/>
    <s v="VertexSolar Power"/>
    <d v="2023-08-30T00:00:00"/>
    <x v="7"/>
    <x v="0"/>
    <s v="55.678.901/0001-67"/>
    <s v="Estornos"/>
    <s v="ENVIO INCORRETO"/>
    <n v="8017"/>
    <s v="A VISTA"/>
    <d v="2023-08-31T00:00:00"/>
    <n v="8017"/>
    <m/>
    <m/>
    <m/>
    <m/>
    <m/>
    <m/>
  </r>
  <r>
    <s v="511227"/>
    <s v="LuminaCore Systems"/>
    <d v="2023-11-20T00:00:00"/>
    <x v="10"/>
    <x v="0"/>
    <s v="90.123.456/0001-12"/>
    <s v="Saída"/>
    <s v="Consultoria"/>
    <n v="-7719"/>
    <s v="1+1"/>
    <d v="2023-11-21T00:00:00"/>
    <n v="-3859.5"/>
    <d v="2023-12-20T00:00:00"/>
    <n v="-3859.5"/>
    <m/>
    <m/>
    <m/>
    <m/>
  </r>
  <r>
    <s v="88125144"/>
    <s v="CyberSphere Innovations"/>
    <d v="2023-09-06T00:00:00"/>
    <x v="5"/>
    <x v="0"/>
    <s v="63.456.789/0001-23"/>
    <s v="Saída"/>
    <s v="Consultoria"/>
    <n v="-8837"/>
    <s v="A VISTA"/>
    <d v="2023-09-07T00:00:00"/>
    <n v="-8837"/>
    <m/>
    <m/>
    <m/>
    <m/>
    <m/>
    <m/>
  </r>
  <r>
    <s v="545512"/>
    <s v="TerraFusion Industries"/>
    <d v="2023-07-07T00:00:00"/>
    <x v="6"/>
    <x v="0"/>
    <s v="54.567.890/0001-90"/>
    <s v="Estornos"/>
    <s v="EXTRAVIADO"/>
    <n v="3117"/>
    <s v="A VISTA"/>
    <d v="2023-07-08T00:00:00"/>
    <n v="3117"/>
    <m/>
    <m/>
    <m/>
    <m/>
    <m/>
    <m/>
  </r>
  <r>
    <s v="7310572"/>
    <s v="SilverStone Ventures"/>
    <d v="2024-01-11T00:00:00"/>
    <x v="0"/>
    <x v="1"/>
    <s v="89.012.345/0001-45"/>
    <s v="Entrada"/>
    <s v="MATERIAL A"/>
    <n v="781"/>
    <s v="1+3"/>
    <d v="2024-01-12T00:00:00"/>
    <n v="195.25"/>
    <d v="2024-02-10T00:00:00"/>
    <n v="195.25"/>
    <d v="2024-02-25T00:00:00"/>
    <n v="195.25"/>
    <d v="2024-03-11T00:00:00"/>
    <n v="195.25"/>
  </r>
  <r>
    <s v="2179119"/>
    <s v="StellarFusion Corp."/>
    <d v="2023-11-29T00:00:00"/>
    <x v="10"/>
    <x v="0"/>
    <s v="01.234.567/0001-89"/>
    <s v="Saída"/>
    <s v="Pagamentos ADMs"/>
    <n v="-2684"/>
    <s v="1+1"/>
    <d v="2023-11-30T00:00:00"/>
    <n v="-1342"/>
    <d v="2023-12-29T00:00:00"/>
    <n v="-1342"/>
    <m/>
    <m/>
    <m/>
    <m/>
  </r>
  <r>
    <s v="8228195"/>
    <s v="RadiantVista Holdings"/>
    <d v="2023-05-30T00:00:00"/>
    <x v="1"/>
    <x v="0"/>
    <s v="20.123.456/0001-12"/>
    <s v="Entrada"/>
    <s v="MATERIAL B"/>
    <n v="5313"/>
    <s v="1+1"/>
    <d v="2023-05-31T00:00:00"/>
    <n v="2656.5"/>
    <d v="2023-06-29T00:00:00"/>
    <n v="2656.5"/>
    <m/>
    <m/>
    <m/>
    <m/>
  </r>
  <r>
    <s v="7846137"/>
    <s v="HorizonTech Solutions"/>
    <d v="2024-01-03T00:00:00"/>
    <x v="0"/>
    <x v="1"/>
    <s v="29.012.345/0001-45"/>
    <s v="Entrada"/>
    <s v="MATERIAL B"/>
    <n v="1085"/>
    <s v="1+2"/>
    <d v="2024-01-04T00:00:00"/>
    <n v="361.66666666666669"/>
    <d v="2024-02-02T00:00:00"/>
    <n v="361.66666666666669"/>
    <d v="2024-02-17T00:00:00"/>
    <n v="361.66666666666669"/>
    <m/>
    <m/>
  </r>
  <r>
    <s v="958682"/>
    <s v="ApexSphere Enterprises"/>
    <d v="2023-12-12T00:00:00"/>
    <x v="9"/>
    <x v="0"/>
    <s v="65.678.901/0001-67"/>
    <s v="Entrada"/>
    <s v="MATERIAL E"/>
    <n v="9429"/>
    <s v="1+1"/>
    <d v="2023-12-13T00:00:00"/>
    <n v="4714.5"/>
    <d v="2024-01-11T00:00:00"/>
    <n v="4714.5"/>
    <m/>
    <m/>
    <m/>
    <m/>
  </r>
  <r>
    <s v="2611058"/>
    <s v="CrimsonCrest Dynamics"/>
    <d v="2024-01-28T00:00:00"/>
    <x v="0"/>
    <x v="1"/>
    <s v="66.789.012/0001-34"/>
    <s v="Saída"/>
    <s v="Factoring Fee"/>
    <n v="-8504"/>
    <s v="A VISTA"/>
    <d v="2024-01-29T00:00:00"/>
    <n v="-8504"/>
    <m/>
    <m/>
    <m/>
    <m/>
    <m/>
    <m/>
  </r>
  <r>
    <s v="1363182"/>
    <s v="StellarWave Technologies"/>
    <d v="2023-06-24T00:00:00"/>
    <x v="2"/>
    <x v="0"/>
    <s v="76.789.012/0001-34"/>
    <s v="Estornos"/>
    <s v="ENVIO INCORRETO"/>
    <n v="1646"/>
    <s v="A VISTA"/>
    <d v="2023-06-25T00:00:00"/>
    <n v="1646"/>
    <m/>
    <m/>
    <m/>
    <m/>
    <m/>
    <m/>
  </r>
  <r>
    <s v="8713131"/>
    <s v="ZenithStream Technologies"/>
    <d v="2023-12-27T00:00:00"/>
    <x v="9"/>
    <x v="0"/>
    <s v="77.890.123/0001-01"/>
    <s v="Saída"/>
    <s v="Impostos"/>
    <n v="-7876"/>
    <s v="1+3"/>
    <d v="2023-12-28T00:00:00"/>
    <n v="-1969"/>
    <d v="2024-01-26T00:00:00"/>
    <n v="-1969"/>
    <d v="2024-02-10T00:00:00"/>
    <n v="-1969"/>
    <d v="2024-02-25T00:00:00"/>
    <n v="-1969"/>
  </r>
  <r>
    <s v="368093"/>
    <s v="AeroMatrix Solutions"/>
    <d v="2024-01-11T00:00:00"/>
    <x v="0"/>
    <x v="1"/>
    <s v="88.901.234/0001-78"/>
    <s v="Entrada"/>
    <s v="MATERIAL D"/>
    <n v="4203"/>
    <s v="1+2"/>
    <d v="2024-01-12T00:00:00"/>
    <n v="1401"/>
    <d v="2024-02-10T00:00:00"/>
    <n v="1401"/>
    <d v="2024-02-25T00:00:00"/>
    <n v="1401"/>
    <m/>
    <m/>
  </r>
  <r>
    <s v="80120226"/>
    <s v="NovaSphere Industries"/>
    <d v="2023-10-24T00:00:00"/>
    <x v="3"/>
    <x v="0"/>
    <s v="99.012.345/0001-45"/>
    <s v="Entrada"/>
    <s v="MATERIAL B"/>
    <n v="5128"/>
    <s v="A VISTA"/>
    <d v="2023-10-25T00:00:00"/>
    <n v="5128"/>
    <m/>
    <m/>
    <m/>
    <m/>
    <m/>
    <m/>
  </r>
  <r>
    <s v="98571"/>
    <s v="TerraVista Holdings"/>
    <d v="2023-10-19T00:00:00"/>
    <x v="3"/>
    <x v="0"/>
    <s v="45.678.901/0001-67"/>
    <s v="Saída"/>
    <s v="Factoring Fee"/>
    <n v="-6535"/>
    <s v="1+1"/>
    <d v="2023-10-20T00:00:00"/>
    <n v="-3267.5"/>
    <d v="2023-11-18T00:00:00"/>
    <n v="-3267.5"/>
    <m/>
    <m/>
    <m/>
    <m/>
  </r>
  <r>
    <s v="601372"/>
    <s v="InfinityPulse LLC"/>
    <d v="2023-12-08T00:00:00"/>
    <x v="9"/>
    <x v="0"/>
    <s v="11.234.567/0001-89"/>
    <s v="Entrada"/>
    <s v="MATERIAL C"/>
    <n v="9749"/>
    <s v="A VISTA"/>
    <d v="2023-12-09T00:00:00"/>
    <n v="9749"/>
    <m/>
    <m/>
    <m/>
    <m/>
    <m/>
    <m/>
  </r>
  <r>
    <s v="1107132"/>
    <s v="ZenTech Solutions"/>
    <d v="2024-04-16T00:00:00"/>
    <x v="11"/>
    <x v="1"/>
    <s v="08.901.234/0001-78"/>
    <s v="Saída"/>
    <s v="Factoring Fee"/>
    <n v="-7122"/>
    <s v="1+1"/>
    <d v="2024-04-17T00:00:00"/>
    <n v="-3561"/>
    <d v="2024-05-16T00:00:00"/>
    <n v="-3561"/>
    <m/>
    <m/>
    <m/>
    <m/>
  </r>
  <r>
    <s v="337214"/>
    <s v="BlueWave Networks"/>
    <d v="2023-11-18T00:00:00"/>
    <x v="10"/>
    <x v="0"/>
    <s v="22.345.678/0001-56"/>
    <s v="Saída"/>
    <s v="Pagamentos ADMs"/>
    <n v="-5829"/>
    <s v="1+1"/>
    <d v="2023-11-19T00:00:00"/>
    <n v="-2914.5"/>
    <d v="2023-12-18T00:00:00"/>
    <n v="-2914.5"/>
    <m/>
    <m/>
    <m/>
    <m/>
  </r>
  <r>
    <s v="651469"/>
    <s v="ApexNexus Innovations"/>
    <d v="2023-09-28T00:00:00"/>
    <x v="5"/>
    <x v="0"/>
    <s v="34.567.890/0001-90"/>
    <s v="Estornos"/>
    <s v="ENVIO INCORRETO"/>
    <n v="540"/>
    <s v="A VISTA"/>
    <d v="2023-09-29T00:00:00"/>
    <n v="540"/>
    <m/>
    <m/>
    <m/>
    <m/>
    <m/>
    <m/>
  </r>
  <r>
    <s v="1710191"/>
    <s v="VortexLeaf Dynamics"/>
    <d v="2023-09-07T00:00:00"/>
    <x v="5"/>
    <x v="0"/>
    <s v="18.901.234/0001-78"/>
    <s v="Entrada"/>
    <s v="MATERIAL D"/>
    <n v="8984"/>
    <s v="1+1"/>
    <d v="2023-09-08T00:00:00"/>
    <n v="4492"/>
    <d v="2023-10-07T00:00:00"/>
    <n v="4492"/>
    <m/>
    <m/>
    <m/>
    <m/>
  </r>
  <r>
    <s v="29113155"/>
    <s v="CrimsonCrest Dynamics"/>
    <d v="2023-10-03T00:00:00"/>
    <x v="3"/>
    <x v="0"/>
    <s v="66.789.012/0001-34"/>
    <s v="Saída"/>
    <s v="Factoring Fee"/>
    <n v="-6497"/>
    <s v="A VISTA"/>
    <d v="2023-10-04T00:00:00"/>
    <n v="-6497"/>
    <m/>
    <m/>
    <m/>
    <m/>
    <m/>
    <m/>
  </r>
  <r>
    <s v="21491"/>
    <s v="StellarFusion Corp."/>
    <d v="2024-06-18T00:00:00"/>
    <x v="2"/>
    <x v="1"/>
    <s v="01.234.567/0001-89"/>
    <s v="Saída"/>
    <s v="Pagamentos ADMs"/>
    <n v="-758"/>
    <s v="1+1"/>
    <d v="2024-06-19T00:00:00"/>
    <n v="-379"/>
    <d v="2024-07-18T00:00:00"/>
    <n v="-379"/>
    <m/>
    <m/>
    <m/>
    <m/>
  </r>
  <r>
    <s v="171669"/>
    <s v="RadiantSky Labs"/>
    <d v="2024-03-28T00:00:00"/>
    <x v="8"/>
    <x v="1"/>
    <s v="33.456.789/0001-23"/>
    <s v="Estornos"/>
    <s v="EXTRAVIADO"/>
    <n v="4543"/>
    <s v="A VISTA"/>
    <d v="2024-03-29T00:00:00"/>
    <n v="4543"/>
    <m/>
    <m/>
    <m/>
    <m/>
    <m/>
    <m/>
  </r>
  <r>
    <s v="30116195"/>
    <s v="ZenithStream Technologies"/>
    <d v="2023-09-30T00:00:00"/>
    <x v="5"/>
    <x v="0"/>
    <s v="77.890.123/0001-01"/>
    <s v="Saída"/>
    <s v="Impostos"/>
    <n v="-7578"/>
    <s v="A VISTA"/>
    <d v="2023-10-01T00:00:00"/>
    <n v="-7578"/>
    <m/>
    <m/>
    <m/>
    <m/>
    <m/>
    <m/>
  </r>
  <r>
    <s v="78482"/>
    <s v="HorizonEcho Group"/>
    <d v="2023-11-13T00:00:00"/>
    <x v="10"/>
    <x v="0"/>
    <s v="78.901.234/0001-78"/>
    <s v="Entrada"/>
    <s v="MATERIAL B"/>
    <n v="4592"/>
    <s v="1+2"/>
    <d v="2023-11-14T00:00:00"/>
    <n v="1530.6666666666667"/>
    <d v="2023-12-13T00:00:00"/>
    <n v="1530.6666666666667"/>
    <d v="2023-12-28T00:00:00"/>
    <n v="1530.6666666666667"/>
    <m/>
    <m/>
  </r>
  <r>
    <s v="4620138"/>
    <s v="StellarWave Technologies"/>
    <d v="2023-09-14T00:00:00"/>
    <x v="5"/>
    <x v="0"/>
    <s v="76.789.012/0001-34"/>
    <s v="Estornos"/>
    <s v="ENVIO INCORRETO"/>
    <n v="5792"/>
    <s v="A VISTA"/>
    <d v="2023-09-15T00:00:00"/>
    <n v="5792"/>
    <m/>
    <m/>
    <m/>
    <m/>
    <m/>
    <m/>
  </r>
  <r>
    <s v="6938108"/>
    <s v="StellarCore Systems"/>
    <d v="2024-01-20T00:00:00"/>
    <x v="0"/>
    <x v="1"/>
    <s v="96.789.012/0001-34"/>
    <s v="Estornos"/>
    <s v="EXTRAVIADO"/>
    <n v="616"/>
    <s v="A VISTA"/>
    <d v="2024-01-21T00:00:00"/>
    <n v="616"/>
    <m/>
    <m/>
    <m/>
    <m/>
    <m/>
    <m/>
  </r>
  <r>
    <s v="811941"/>
    <s v="LuminaCore Systems"/>
    <d v="2024-07-05T00:00:00"/>
    <x v="6"/>
    <x v="1"/>
    <s v="90.123.456/0001-12"/>
    <s v="Saída"/>
    <s v="Consultoria"/>
    <n v="-4140"/>
    <s v="A VISTA"/>
    <d v="2024-07-06T00:00:00"/>
    <n v="-4140"/>
    <m/>
    <m/>
    <m/>
    <m/>
    <m/>
    <m/>
  </r>
  <r>
    <s v="951374"/>
    <s v="NovaSphere Industries"/>
    <d v="2023-11-22T00:00:00"/>
    <x v="10"/>
    <x v="0"/>
    <s v="99.012.345/0001-45"/>
    <s v="Entrada"/>
    <s v="MATERIAL B"/>
    <n v="9229"/>
    <s v="1+1"/>
    <d v="2023-11-23T00:00:00"/>
    <n v="4614.5"/>
    <d v="2023-12-22T00:00:00"/>
    <n v="4614.5"/>
    <m/>
    <m/>
    <m/>
    <m/>
  </r>
  <r>
    <s v="76138137"/>
    <s v="TerraVista Holdings"/>
    <d v="2023-05-15T00:00:00"/>
    <x v="1"/>
    <x v="0"/>
    <s v="45.678.901/0001-67"/>
    <s v="Saída"/>
    <s v="Factoring Fee"/>
    <n v="-3522"/>
    <s v="1+1"/>
    <d v="2023-05-16T00:00:00"/>
    <n v="-1761"/>
    <d v="2023-06-14T00:00:00"/>
    <n v="-1761"/>
    <m/>
    <m/>
    <m/>
    <m/>
  </r>
  <r>
    <s v="644256"/>
    <s v="BlueStone Networks"/>
    <d v="2024-07-06T00:00:00"/>
    <x v="6"/>
    <x v="1"/>
    <s v="53.456.789/0001-23"/>
    <s v="Entrada"/>
    <s v="MATERIAL C"/>
    <n v="7682"/>
    <s v="A VISTA"/>
    <d v="2024-07-07T00:00:00"/>
    <n v="7682"/>
    <m/>
    <m/>
    <m/>
    <m/>
    <m/>
    <m/>
  </r>
  <r>
    <s v="1383104"/>
    <s v="OmniCore Systems"/>
    <d v="2024-01-11T00:00:00"/>
    <x v="0"/>
    <x v="1"/>
    <s v="64.567.890/0001-90"/>
    <s v="Saída"/>
    <s v="Pagamentos ADMs"/>
    <n v="-1237"/>
    <s v="1+1"/>
    <d v="2024-01-12T00:00:00"/>
    <n v="-618.5"/>
    <d v="2024-02-10T00:00:00"/>
    <n v="-618.5"/>
    <m/>
    <m/>
    <m/>
    <m/>
  </r>
  <r>
    <s v="6151225"/>
    <s v="QuantumPulse LLC"/>
    <d v="2024-01-22T00:00:00"/>
    <x v="0"/>
    <x v="1"/>
    <s v="32.345.678/0001-56"/>
    <s v="Entrada"/>
    <s v="MATERIAL C"/>
    <n v="6432"/>
    <s v="1+3"/>
    <d v="2024-01-23T00:00:00"/>
    <n v="1608"/>
    <d v="2024-02-21T00:00:00"/>
    <n v="1608"/>
    <d v="2024-03-07T00:00:00"/>
    <n v="1608"/>
    <d v="2024-03-22T00:00:00"/>
    <n v="1608"/>
  </r>
  <r>
    <s v="37125213"/>
    <s v="TerraPeak Enterprises"/>
    <d v="2024-03-06T00:00:00"/>
    <x v="8"/>
    <x v="1"/>
    <s v="41.234.567/0001-89"/>
    <s v="Entrada"/>
    <s v="MATERIAL B"/>
    <n v="3676"/>
    <s v="1+2"/>
    <d v="2024-03-07T00:00:00"/>
    <n v="1225.3333333333333"/>
    <d v="2024-04-05T00:00:00"/>
    <n v="1225.3333333333333"/>
    <d v="2024-04-20T00:00:00"/>
    <n v="1225.3333333333333"/>
    <m/>
    <m/>
  </r>
  <r>
    <s v="64120219"/>
    <s v="QuantumEcho Labs"/>
    <d v="2024-09-15T00:00:00"/>
    <x v="5"/>
    <x v="1"/>
    <s v="74.567.890/0001-90"/>
    <s v="Entrada"/>
    <s v="MATERIAL C"/>
    <n v="2707"/>
    <s v="1+3"/>
    <d v="2024-09-16T00:00:00"/>
    <n v="676.75"/>
    <d v="2024-10-15T00:00:00"/>
    <n v="676.75"/>
    <d v="2024-10-30T00:00:00"/>
    <n v="676.75"/>
    <d v="2024-11-14T00:00:00"/>
    <n v="676.75"/>
  </r>
  <r>
    <s v="9010100"/>
    <s v="TitanFusion Power"/>
    <d v="2023-08-15T00:00:00"/>
    <x v="7"/>
    <x v="0"/>
    <s v="86.789.012/0001-34"/>
    <s v="Entrada"/>
    <s v="MATERIAL E"/>
    <n v="4611"/>
    <s v="1+3"/>
    <d v="2023-08-16T00:00:00"/>
    <n v="1152.75"/>
    <d v="2023-09-14T00:00:00"/>
    <n v="1152.75"/>
    <d v="2023-09-29T00:00:00"/>
    <n v="1152.75"/>
    <d v="2023-10-14T00:00:00"/>
    <n v="1152.75"/>
  </r>
  <r>
    <s v="9674130"/>
    <s v="StellarCore Systems"/>
    <d v="2024-07-30T00:00:00"/>
    <x v="6"/>
    <x v="1"/>
    <s v="96.789.012/0001-34"/>
    <s v="Estornos"/>
    <s v="EXTRAVIADO"/>
    <n v="7421"/>
    <s v="A VISTA"/>
    <d v="2024-07-31T00:00:00"/>
    <n v="7421"/>
    <m/>
    <m/>
    <m/>
    <m/>
    <m/>
    <m/>
  </r>
  <r>
    <s v="66176"/>
    <s v="ElevateX Solutions"/>
    <d v="2023-09-25T00:00:00"/>
    <x v="5"/>
    <x v="0"/>
    <s v="43.456.789/0001-23"/>
    <s v="Saída"/>
    <s v="Pagamentos ADMs"/>
    <n v="-9599"/>
    <s v="A VISTA"/>
    <d v="2023-09-26T00:00:00"/>
    <n v="-9599"/>
    <m/>
    <m/>
    <m/>
    <m/>
    <m/>
    <m/>
  </r>
  <r>
    <s v="423255"/>
    <s v="OmniGlobe Enterprises"/>
    <d v="2024-01-23T00:00:00"/>
    <x v="0"/>
    <x v="1"/>
    <s v="23.456.789/0001-23"/>
    <s v="Entrada"/>
    <s v="MATERIAL E"/>
    <n v="5255"/>
    <s v="1+1"/>
    <d v="2024-01-24T00:00:00"/>
    <n v="2627.5"/>
    <d v="2024-02-22T00:00:00"/>
    <n v="2627.5"/>
    <m/>
    <m/>
    <m/>
    <m/>
  </r>
  <r>
    <s v="8166192"/>
    <s v="ElevateX Solutions"/>
    <d v="2023-08-26T00:00:00"/>
    <x v="7"/>
    <x v="0"/>
    <s v="43.456.789/0001-23"/>
    <s v="Saída"/>
    <s v="Pagamentos ADMs"/>
    <n v="-3320"/>
    <s v="1+2"/>
    <d v="2023-08-27T00:00:00"/>
    <n v="-1106.6666666666667"/>
    <d v="2023-09-25T00:00:00"/>
    <n v="-1106.6666666666667"/>
    <d v="2023-10-10T00:00:00"/>
    <n v="-1106.6666666666667"/>
    <m/>
    <m/>
  </r>
  <r>
    <s v="33146185"/>
    <s v="OmniCore Systems"/>
    <d v="2023-04-25T00:00:00"/>
    <x v="11"/>
    <x v="0"/>
    <s v="64.567.890/0001-90"/>
    <s v="Saída"/>
    <s v="Pagamentos ADMs"/>
    <n v="-7447"/>
    <s v="A VISTA"/>
    <d v="2023-04-26T00:00:00"/>
    <n v="-7447"/>
    <m/>
    <m/>
    <m/>
    <m/>
    <m/>
    <m/>
  </r>
  <r>
    <s v="308109"/>
    <s v="CrimsonEdge Dynamics"/>
    <d v="2024-08-12T00:00:00"/>
    <x v="7"/>
    <x v="1"/>
    <s v="97.890.123/0001-01"/>
    <s v="Estornos"/>
    <s v="ENVIO INCORRETO"/>
    <n v="3383"/>
    <s v="A VISTA"/>
    <d v="2024-08-13T00:00:00"/>
    <n v="3383"/>
    <m/>
    <m/>
    <m/>
    <m/>
    <m/>
    <m/>
  </r>
  <r>
    <s v="174957"/>
    <s v="TerraVista Holdings"/>
    <d v="2024-01-28T00:00:00"/>
    <x v="0"/>
    <x v="1"/>
    <s v="45.678.901/0001-67"/>
    <s v="Saída"/>
    <s v="Factoring Fee"/>
    <n v="-4137"/>
    <s v="1+3"/>
    <d v="2024-01-29T00:00:00"/>
    <n v="-1034.25"/>
    <d v="2024-02-27T00:00:00"/>
    <n v="-1034.25"/>
    <d v="2024-03-13T00:00:00"/>
    <n v="-1034.25"/>
    <d v="2024-03-28T00:00:00"/>
    <n v="-1034.25"/>
  </r>
  <r>
    <s v="1611479"/>
    <s v="VortexDynamics Inc."/>
    <d v="2023-06-18T00:00:00"/>
    <x v="2"/>
    <x v="0"/>
    <s v="56.789.012/0001-34"/>
    <s v="Saída"/>
    <s v="Impostos"/>
    <n v="-9391"/>
    <s v="A VISTA"/>
    <d v="2023-06-19T00:00:00"/>
    <n v="-9391"/>
    <m/>
    <m/>
    <m/>
    <m/>
    <m/>
    <m/>
  </r>
  <r>
    <s v="37146159"/>
    <s v="QuantumWave Industries"/>
    <d v="2023-05-15T00:00:00"/>
    <x v="1"/>
    <x v="0"/>
    <s v="12.345.678/0001-56"/>
    <s v="Estornos"/>
    <s v="EXTRAVIADO"/>
    <n v="8548"/>
    <s v="A VISTA"/>
    <d v="2023-05-16T00:00:00"/>
    <n v="8548"/>
    <m/>
    <m/>
    <m/>
    <m/>
    <m/>
    <m/>
  </r>
  <r>
    <s v="42111201"/>
    <s v="StellarCore Systems"/>
    <d v="2023-07-15T00:00:00"/>
    <x v="6"/>
    <x v="0"/>
    <s v="96.789.012/0001-34"/>
    <s v="Estornos"/>
    <s v="EXTRAVIADO"/>
    <n v="8952"/>
    <s v="A VISTA"/>
    <d v="2023-07-16T00:00:00"/>
    <n v="8952"/>
    <m/>
    <m/>
    <m/>
    <m/>
    <m/>
    <m/>
  </r>
  <r>
    <s v="31144110"/>
    <s v="AeroVista Holdings"/>
    <d v="2024-03-13T00:00:00"/>
    <x v="8"/>
    <x v="1"/>
    <s v="19.012.345/0001-45"/>
    <s v="Saída"/>
    <s v="Impostos"/>
    <n v="-2638"/>
    <s v="1+3"/>
    <d v="2024-03-14T00:00:00"/>
    <n v="-659.5"/>
    <d v="2024-04-12T00:00:00"/>
    <n v="-659.5"/>
    <d v="2024-04-27T00:00:00"/>
    <n v="-659.5"/>
    <d v="2024-05-12T00:00:00"/>
    <n v="-659.5"/>
  </r>
  <r>
    <s v="4882105"/>
    <s v="ApexSphere Enterprises"/>
    <d v="2023-10-19T00:00:00"/>
    <x v="3"/>
    <x v="0"/>
    <s v="65.678.901/0001-67"/>
    <s v="Entrada"/>
    <s v="MATERIAL E"/>
    <n v="5176"/>
    <s v="1+1"/>
    <d v="2023-10-20T00:00:00"/>
    <n v="2588"/>
    <d v="2023-11-18T00:00:00"/>
    <n v="2588"/>
    <m/>
    <m/>
    <m/>
    <m/>
  </r>
  <r>
    <s v="76122"/>
    <s v="QuantumWave Industries"/>
    <d v="2023-08-07T00:00:00"/>
    <x v="7"/>
    <x v="0"/>
    <s v="12.345.678/0001-56"/>
    <s v="Estornos"/>
    <s v="EXTRAVIADO"/>
    <n v="7900"/>
    <s v="A VISTA"/>
    <d v="2023-08-08T00:00:00"/>
    <n v="7900"/>
    <m/>
    <m/>
    <m/>
    <m/>
    <m/>
    <m/>
  </r>
  <r>
    <s v="88127225"/>
    <s v="LuminaWave Innovations"/>
    <d v="2023-08-21T00:00:00"/>
    <x v="7"/>
    <x v="0"/>
    <s v="31.234.567/0001-89"/>
    <s v="Entrada"/>
    <s v="MATERIAL A"/>
    <n v="7627"/>
    <s v="1+2"/>
    <d v="2023-08-22T00:00:00"/>
    <n v="2542.3333333333335"/>
    <d v="2023-09-20T00:00:00"/>
    <n v="2542.3333333333335"/>
    <d v="2023-10-05T00:00:00"/>
    <n v="2542.3333333333335"/>
    <m/>
    <m/>
  </r>
  <r>
    <s v="51125189"/>
    <s v="StellarCore Systems"/>
    <d v="2023-12-23T00:00:00"/>
    <x v="9"/>
    <x v="0"/>
    <s v="96.789.012/0001-34"/>
    <s v="Estornos"/>
    <s v="EXTRAVIADO"/>
    <n v="1758"/>
    <s v="A VISTA"/>
    <d v="2023-12-24T00:00:00"/>
    <n v="1758"/>
    <m/>
    <m/>
    <m/>
    <m/>
    <m/>
    <m/>
  </r>
  <r>
    <s v="6730231"/>
    <s v="CrimsonEdge Dynamics"/>
    <d v="2024-01-06T00:00:00"/>
    <x v="0"/>
    <x v="1"/>
    <s v="97.890.123/0001-01"/>
    <s v="Estornos"/>
    <s v="ENVIO INCORRETO"/>
    <n v="5753"/>
    <s v="A VISTA"/>
    <d v="2024-01-07T00:00:00"/>
    <n v="5753"/>
    <m/>
    <m/>
    <m/>
    <m/>
    <m/>
    <m/>
  </r>
  <r>
    <s v="206214"/>
    <s v="TerraPeak Enterprises"/>
    <d v="2024-04-16T00:00:00"/>
    <x v="11"/>
    <x v="1"/>
    <s v="41.234.567/0001-89"/>
    <s v="Entrada"/>
    <s v="MATERIAL B"/>
    <n v="7056"/>
    <s v="1+2"/>
    <d v="2024-04-17T00:00:00"/>
    <n v="2352"/>
    <d v="2024-05-16T00:00:00"/>
    <n v="2352"/>
    <d v="2024-05-31T00:00:00"/>
    <n v="2352"/>
    <m/>
    <m/>
  </r>
  <r>
    <s v="50139145"/>
    <s v="TerraFusion Industries"/>
    <d v="2024-09-16T00:00:00"/>
    <x v="5"/>
    <x v="1"/>
    <s v="54.567.890/0001-90"/>
    <s v="Estornos"/>
    <s v="EXTRAVIADO"/>
    <n v="2451"/>
    <s v="A VISTA"/>
    <d v="2024-09-17T00:00:00"/>
    <n v="2451"/>
    <m/>
    <m/>
    <m/>
    <m/>
    <m/>
    <m/>
  </r>
  <r>
    <s v="31053"/>
    <s v="RadiantVista Holdings"/>
    <d v="2023-12-16T00:00:00"/>
    <x v="9"/>
    <x v="0"/>
    <s v="20.123.456/0001-12"/>
    <s v="Entrada"/>
    <s v="MATERIAL B"/>
    <n v="4909"/>
    <s v="1+3"/>
    <d v="2023-12-17T00:00:00"/>
    <n v="1227.25"/>
    <d v="2024-01-15T00:00:00"/>
    <n v="1227.25"/>
    <d v="2024-01-30T00:00:00"/>
    <n v="1227.25"/>
    <d v="2024-02-14T00:00:00"/>
    <n v="1227.25"/>
  </r>
  <r>
    <s v="186928"/>
    <s v="VortexPeak Dynamics"/>
    <d v="2024-01-09T00:00:00"/>
    <x v="0"/>
    <x v="1"/>
    <s v="98.901.234/0001-78"/>
    <s v="Saída"/>
    <s v="Impostos"/>
    <n v="-443"/>
    <s v="1+2"/>
    <d v="2024-01-10T00:00:00"/>
    <n v="-147.66666666666666"/>
    <d v="2024-02-08T00:00:00"/>
    <n v="-147.66666666666666"/>
    <d v="2024-02-23T00:00:00"/>
    <n v="-147.66666666666666"/>
    <m/>
    <m/>
  </r>
  <r>
    <s v="62119221"/>
    <s v="StellarWave Technologies"/>
    <d v="2024-03-19T00:00:00"/>
    <x v="8"/>
    <x v="1"/>
    <s v="76.789.012/0001-34"/>
    <s v="Estornos"/>
    <s v="ENVIO INCORRETO"/>
    <n v="3426"/>
    <s v="A VISTA"/>
    <d v="2024-03-20T00:00:00"/>
    <n v="3426"/>
    <m/>
    <m/>
    <m/>
    <m/>
    <m/>
    <m/>
  </r>
  <r>
    <s v="29936"/>
    <s v="CyberLink Corporation"/>
    <d v="2023-10-04T00:00:00"/>
    <x v="3"/>
    <x v="0"/>
    <s v="21.234.567/0001-89"/>
    <s v="Saída"/>
    <s v="Consultoria"/>
    <n v="-6332"/>
    <s v="1+1"/>
    <d v="2023-10-05T00:00:00"/>
    <n v="-3166"/>
    <d v="2023-11-03T00:00:00"/>
    <n v="-3166"/>
    <m/>
    <m/>
    <m/>
    <m/>
  </r>
  <r>
    <s v="66107125"/>
    <s v="FusionPeak Technologies"/>
    <d v="2023-07-17T00:00:00"/>
    <x v="6"/>
    <x v="0"/>
    <s v="67.890.123/0001-01"/>
    <s v="Entrada"/>
    <s v="MATERIAL D"/>
    <n v="3681"/>
    <s v="A VISTA"/>
    <d v="2023-07-18T00:00:00"/>
    <n v="3681"/>
    <m/>
    <m/>
    <m/>
    <m/>
    <m/>
    <m/>
  </r>
  <r>
    <s v="7461236"/>
    <s v="VortexLeaf Dynamics"/>
    <d v="2024-01-12T00:00:00"/>
    <x v="0"/>
    <x v="1"/>
    <s v="18.901.234/0001-78"/>
    <s v="Entrada"/>
    <s v="MATERIAL D"/>
    <n v="5515"/>
    <s v="1+3"/>
    <d v="2024-01-13T00:00:00"/>
    <n v="1378.75"/>
    <d v="2024-02-11T00:00:00"/>
    <n v="1378.75"/>
    <d v="2024-02-26T00:00:00"/>
    <n v="1378.75"/>
    <d v="2024-03-12T00:00:00"/>
    <n v="1378.75"/>
  </r>
  <r>
    <s v="516352"/>
    <s v="NovaSphere Industries"/>
    <d v="2023-12-25T00:00:00"/>
    <x v="9"/>
    <x v="0"/>
    <s v="99.012.345/0001-45"/>
    <s v="Entrada"/>
    <s v="MATERIAL B"/>
    <n v="2110"/>
    <s v="1+2"/>
    <d v="2023-12-26T00:00:00"/>
    <n v="703.33333333333337"/>
    <d v="2024-01-24T00:00:00"/>
    <n v="703.33333333333337"/>
    <d v="2024-02-08T00:00:00"/>
    <n v="703.33333333333337"/>
    <m/>
    <m/>
  </r>
  <r>
    <s v="72129196"/>
    <s v="ZenithStream Technologies"/>
    <d v="2024-03-18T00:00:00"/>
    <x v="8"/>
    <x v="1"/>
    <s v="77.890.123/0001-01"/>
    <s v="Saída"/>
    <s v="Impostos"/>
    <n v="-3168"/>
    <s v="1+2"/>
    <d v="2024-03-19T00:00:00"/>
    <n v="-1056"/>
    <d v="2024-04-17T00:00:00"/>
    <n v="-1056"/>
    <d v="2024-05-02T00:00:00"/>
    <n v="-1056"/>
    <m/>
    <m/>
  </r>
  <r>
    <s v="4366136"/>
    <s v="FusionPeak Technologies"/>
    <d v="2024-01-29T00:00:00"/>
    <x v="0"/>
    <x v="1"/>
    <s v="67.890.123/0001-01"/>
    <s v="Entrada"/>
    <s v="MATERIAL D"/>
    <n v="2393"/>
    <s v="1+1"/>
    <d v="2024-01-30T00:00:00"/>
    <n v="1196.5"/>
    <d v="2024-02-28T00:00:00"/>
    <n v="1196.5"/>
    <m/>
    <m/>
    <m/>
    <m/>
  </r>
  <r>
    <s v="7613818"/>
    <s v="CyberLink Corporation"/>
    <d v="2023-09-28T00:00:00"/>
    <x v="5"/>
    <x v="0"/>
    <s v="21.234.567/0001-89"/>
    <s v="Saída"/>
    <s v="Consultoria"/>
    <n v="-7652"/>
    <s v="1+2"/>
    <d v="2023-09-29T00:00:00"/>
    <n v="-2550.6666666666665"/>
    <d v="2023-10-28T00:00:00"/>
    <n v="-2550.6666666666665"/>
    <d v="2023-11-12T00:00:00"/>
    <n v="-2550.6666666666665"/>
    <m/>
    <m/>
  </r>
  <r>
    <s v="9578114"/>
    <s v="ZenTech Solutions"/>
    <d v="2023-09-30T00:00:00"/>
    <x v="5"/>
    <x v="0"/>
    <s v="08.901.234/0001-78"/>
    <s v="Saída"/>
    <s v="Factoring Fee"/>
    <n v="-4050"/>
    <s v="1+3"/>
    <d v="2023-10-01T00:00:00"/>
    <n v="-1012.5"/>
    <d v="2023-10-30T00:00:00"/>
    <n v="-1012.5"/>
    <d v="2023-11-14T00:00:00"/>
    <n v="-1012.5"/>
    <d v="2023-11-29T00:00:00"/>
    <n v="-1012.5"/>
  </r>
  <r>
    <s v="56112220"/>
    <s v="StellarFusion Corp."/>
    <d v="2023-12-29T00:00:00"/>
    <x v="9"/>
    <x v="0"/>
    <s v="01.234.567/0001-89"/>
    <s v="Saída"/>
    <s v="Pagamentos ADMs"/>
    <n v="-2336"/>
    <s v="1+3"/>
    <d v="2023-12-30T00:00:00"/>
    <n v="-584"/>
    <d v="2024-01-28T00:00:00"/>
    <n v="-584"/>
    <d v="2024-02-12T00:00:00"/>
    <n v="-584"/>
    <d v="2024-02-27T00:00:00"/>
    <n v="-584"/>
  </r>
  <r>
    <s v="695212"/>
    <s v="ZenithStream Technologies"/>
    <d v="2024-01-06T00:00:00"/>
    <x v="0"/>
    <x v="1"/>
    <s v="77.890.123/0001-01"/>
    <s v="Saída"/>
    <s v="Impostos"/>
    <n v="-3078"/>
    <s v="1+1"/>
    <d v="2024-01-07T00:00:00"/>
    <n v="-1539"/>
    <d v="2024-02-05T00:00:00"/>
    <n v="-1539"/>
    <m/>
    <m/>
    <m/>
    <m/>
  </r>
  <r>
    <s v="1411337"/>
    <s v="VortexPeak Dynamics"/>
    <d v="2024-04-09T00:00:00"/>
    <x v="11"/>
    <x v="1"/>
    <s v="98.901.234/0001-78"/>
    <s v="Saída"/>
    <s v="Impostos"/>
    <n v="-1063"/>
    <s v="1+1"/>
    <d v="2024-04-10T00:00:00"/>
    <n v="-531.5"/>
    <d v="2024-05-09T00:00:00"/>
    <n v="-531.5"/>
    <m/>
    <m/>
    <m/>
    <m/>
  </r>
  <r>
    <s v="515344"/>
    <s v="QuantumWave Industries"/>
    <d v="2023-12-24T00:00:00"/>
    <x v="9"/>
    <x v="0"/>
    <s v="12.345.678/0001-56"/>
    <s v="Estornos"/>
    <s v="EXTRAVIADO"/>
    <n v="5061"/>
    <s v="A VISTA"/>
    <d v="2023-12-25T00:00:00"/>
    <n v="5061"/>
    <m/>
    <m/>
    <m/>
    <m/>
    <m/>
    <m/>
  </r>
  <r>
    <s v="233899"/>
    <s v="VortexLeaf Dynamics"/>
    <d v="2024-02-26T00:00:00"/>
    <x v="4"/>
    <x v="1"/>
    <s v="18.901.234/0001-78"/>
    <s v="Entrada"/>
    <s v="MATERIAL D"/>
    <n v="4323"/>
    <s v="1+2"/>
    <d v="2024-02-27T00:00:00"/>
    <n v="1441"/>
    <d v="2024-03-27T00:00:00"/>
    <n v="1441"/>
    <d v="2024-04-11T00:00:00"/>
    <n v="1441"/>
    <m/>
    <m/>
  </r>
  <r>
    <s v="100133200"/>
    <s v="SilverPulse Ventures"/>
    <d v="2023-09-01T00:00:00"/>
    <x v="5"/>
    <x v="0"/>
    <s v="42.345.678/0001-56"/>
    <s v="Saída"/>
    <s v="Consultoria"/>
    <n v="-5282"/>
    <s v="1+2"/>
    <d v="2023-09-02T00:00:00"/>
    <n v="-1760.6666666666667"/>
    <d v="2023-10-01T00:00:00"/>
    <n v="-1760.6666666666667"/>
    <d v="2023-10-16T00:00:00"/>
    <n v="-1760.6666666666667"/>
    <m/>
    <m/>
  </r>
  <r>
    <s v="6443186"/>
    <s v="FusionPeak Technologies"/>
    <d v="2023-08-23T00:00:00"/>
    <x v="7"/>
    <x v="0"/>
    <s v="67.890.123/0001-01"/>
    <s v="Entrada"/>
    <s v="MATERIAL D"/>
    <n v="2837"/>
    <s v="A VISTA"/>
    <d v="2023-08-24T00:00:00"/>
    <n v="2837"/>
    <m/>
    <m/>
    <m/>
    <m/>
    <m/>
    <m/>
  </r>
  <r>
    <s v="8129234"/>
    <s v="StellarWave Technologies"/>
    <d v="2024-02-10T00:00:00"/>
    <x v="4"/>
    <x v="1"/>
    <s v="76.789.012/0001-34"/>
    <s v="Estornos"/>
    <s v="ENVIO INCORRETO"/>
    <n v="7874"/>
    <s v="A VISTA"/>
    <d v="2024-02-11T00:00:00"/>
    <n v="7874"/>
    <m/>
    <m/>
    <m/>
    <m/>
    <m/>
    <m/>
  </r>
  <r>
    <s v="377330"/>
    <s v="TerraFusion Industries"/>
    <d v="2023-07-05T00:00:00"/>
    <x v="6"/>
    <x v="0"/>
    <s v="54.567.890/0001-90"/>
    <s v="Estornos"/>
    <s v="EXTRAVIADO"/>
    <n v="8182"/>
    <s v="A VISTA"/>
    <d v="2023-07-06T00:00:00"/>
    <n v="8182"/>
    <m/>
    <m/>
    <m/>
    <m/>
    <m/>
    <m/>
  </r>
  <r>
    <s v="9936137"/>
    <s v="OmniCore Systems"/>
    <d v="2023-08-03T00:00:00"/>
    <x v="7"/>
    <x v="0"/>
    <s v="64.567.890/0001-90"/>
    <s v="Saída"/>
    <s v="Pagamentos ADMs"/>
    <n v="-3563"/>
    <s v="1+3"/>
    <d v="2023-08-04T00:00:00"/>
    <n v="-890.75"/>
    <d v="2023-09-02T00:00:00"/>
    <n v="-890.75"/>
    <d v="2023-09-17T00:00:00"/>
    <n v="-890.75"/>
    <d v="2023-10-02T00:00:00"/>
    <n v="-890.75"/>
  </r>
  <r>
    <s v="708050"/>
    <s v="StellarWave Technologies"/>
    <d v="2024-02-20T00:00:00"/>
    <x v="4"/>
    <x v="1"/>
    <s v="76.789.012/0001-34"/>
    <s v="Estornos"/>
    <s v="ENVIO INCORRETO"/>
    <n v="2295"/>
    <s v="A VISTA"/>
    <d v="2024-02-21T00:00:00"/>
    <n v="2295"/>
    <m/>
    <m/>
    <m/>
    <m/>
    <m/>
    <m/>
  </r>
  <r>
    <s v="5012374"/>
    <s v="VertexSolar Power"/>
    <d v="2023-09-15T00:00:00"/>
    <x v="5"/>
    <x v="0"/>
    <s v="55.678.901/0001-67"/>
    <s v="Estornos"/>
    <s v="ENVIO INCORRETO"/>
    <n v="5621"/>
    <s v="A VISTA"/>
    <d v="2023-09-16T00:00:00"/>
    <n v="5621"/>
    <m/>
    <m/>
    <m/>
    <m/>
    <m/>
    <m/>
  </r>
  <r>
    <s v="221841"/>
    <s v="TerraPeak Enterprises"/>
    <d v="2024-02-12T00:00:00"/>
    <x v="4"/>
    <x v="1"/>
    <s v="41.234.567/0001-89"/>
    <s v="Entrada"/>
    <s v="MATERIAL B"/>
    <n v="5611"/>
    <s v="A VISTA"/>
    <d v="2024-02-13T00:00:00"/>
    <n v="5611"/>
    <m/>
    <m/>
    <m/>
    <m/>
    <m/>
    <m/>
  </r>
  <r>
    <s v="91143"/>
    <s v="SilverPulse Ventures"/>
    <d v="2024-06-28T00:00:00"/>
    <x v="2"/>
    <x v="1"/>
    <s v="42.345.678/0001-56"/>
    <s v="Saída"/>
    <s v="Consultoria"/>
    <n v="-9978"/>
    <s v="1+1"/>
    <d v="2024-06-29T00:00:00"/>
    <n v="-4989"/>
    <d v="2024-07-28T00:00:00"/>
    <n v="-4989"/>
    <m/>
    <m/>
    <m/>
    <m/>
  </r>
  <r>
    <s v="22114169"/>
    <s v="NovaSphere Industries"/>
    <d v="2023-11-06T00:00:00"/>
    <x v="10"/>
    <x v="0"/>
    <s v="99.012.345/0001-45"/>
    <s v="Entrada"/>
    <s v="MATERIAL B"/>
    <n v="8750"/>
    <s v="1+1"/>
    <d v="2023-11-07T00:00:00"/>
    <n v="4375"/>
    <d v="2023-12-06T00:00:00"/>
    <n v="4375"/>
    <m/>
    <m/>
    <m/>
    <m/>
  </r>
  <r>
    <s v="2341193"/>
    <s v="QuantumStream Corp."/>
    <d v="2023-06-30T00:00:00"/>
    <x v="2"/>
    <x v="0"/>
    <s v="30.123.456/0001-12"/>
    <s v="Entrada"/>
    <s v="MATERIAL D"/>
    <n v="8236"/>
    <s v="1+3"/>
    <d v="2023-07-01T00:00:00"/>
    <n v="2059"/>
    <d v="2023-07-30T00:00:00"/>
    <n v="2059"/>
    <d v="2023-08-14T00:00:00"/>
    <n v="2059"/>
    <d v="2023-08-29T00:00:00"/>
    <n v="2059"/>
  </r>
  <r>
    <s v="674468"/>
    <s v="InfinitySky Labs"/>
    <d v="2024-01-16T00:00:00"/>
    <x v="0"/>
    <x v="1"/>
    <s v="75.678.901/0001-67"/>
    <s v="Estornos"/>
    <s v="EXTRAVIADO"/>
    <n v="1065"/>
    <s v="A VISTA"/>
    <d v="2024-01-17T00:00:00"/>
    <n v="1065"/>
    <m/>
    <m/>
    <m/>
    <m/>
    <m/>
    <m/>
  </r>
  <r>
    <s v="543743"/>
    <s v="QuantumWave Industries"/>
    <d v="2024-03-20T00:00:00"/>
    <x v="8"/>
    <x v="1"/>
    <s v="12.345.678/0001-56"/>
    <s v="Estornos"/>
    <s v="EXTRAVIADO"/>
    <n v="486"/>
    <s v="A VISTA"/>
    <d v="2024-03-21T00:00:00"/>
    <n v="486"/>
    <m/>
    <m/>
    <m/>
    <m/>
    <m/>
    <m/>
  </r>
  <r>
    <s v="9273149"/>
    <s v="ZenTech Solutions"/>
    <d v="2023-12-11T00:00:00"/>
    <x v="9"/>
    <x v="0"/>
    <s v="08.901.234/0001-78"/>
    <s v="Saída"/>
    <s v="Factoring Fee"/>
    <n v="-8422"/>
    <s v="1+1"/>
    <d v="2023-12-12T00:00:00"/>
    <n v="-4211"/>
    <d v="2024-01-10T00:00:00"/>
    <n v="-4211"/>
    <m/>
    <m/>
    <m/>
    <m/>
  </r>
  <r>
    <s v="705624"/>
    <s v="StellarWave Technologies"/>
    <d v="2024-05-02T00:00:00"/>
    <x v="1"/>
    <x v="1"/>
    <s v="76.789.012/0001-34"/>
    <s v="Estornos"/>
    <s v="ENVIO INCORRETO"/>
    <n v="5339"/>
    <s v="A VISTA"/>
    <d v="2024-05-03T00:00:00"/>
    <n v="5339"/>
    <m/>
    <m/>
    <m/>
    <m/>
    <m/>
    <m/>
  </r>
  <r>
    <s v="411692"/>
    <s v="TitanFusion Power"/>
    <d v="2024-05-09T00:00:00"/>
    <x v="1"/>
    <x v="1"/>
    <s v="86.789.012/0001-34"/>
    <s v="Entrada"/>
    <s v="MATERIAL E"/>
    <n v="1109"/>
    <s v="A VISTA"/>
    <d v="2024-05-10T00:00:00"/>
    <n v="1109"/>
    <m/>
    <m/>
    <m/>
    <m/>
    <m/>
    <m/>
  </r>
  <r>
    <s v="523143"/>
    <s v="VortexDynamics Inc."/>
    <d v="2023-06-10T00:00:00"/>
    <x v="2"/>
    <x v="0"/>
    <s v="56.789.012/0001-34"/>
    <s v="Saída"/>
    <s v="Impostos"/>
    <n v="-9579"/>
    <s v="1+1"/>
    <d v="2023-06-11T00:00:00"/>
    <n v="-4789.5"/>
    <d v="2023-07-10T00:00:00"/>
    <n v="-4789.5"/>
    <m/>
    <m/>
    <m/>
    <m/>
  </r>
  <r>
    <s v="845723"/>
    <s v="SilverPulse Ventures"/>
    <d v="2023-11-09T00:00:00"/>
    <x v="10"/>
    <x v="0"/>
    <s v="42.345.678/0001-56"/>
    <s v="Saída"/>
    <s v="Consultoria"/>
    <n v="-7776"/>
    <s v="1+3"/>
    <d v="2023-11-10T00:00:00"/>
    <n v="-1944"/>
    <d v="2023-12-09T00:00:00"/>
    <n v="-1944"/>
    <d v="2023-12-24T00:00:00"/>
    <n v="-1944"/>
    <d v="2024-01-08T00:00:00"/>
    <n v="-1944"/>
  </r>
  <r>
    <s v="10091143"/>
    <s v="HorizonTech Solutions"/>
    <d v="2023-12-16T00:00:00"/>
    <x v="9"/>
    <x v="0"/>
    <s v="29.012.345/0001-45"/>
    <s v="Entrada"/>
    <s v="MATERIAL B"/>
    <n v="2584"/>
    <s v="1+3"/>
    <d v="2023-12-17T00:00:00"/>
    <n v="646"/>
    <d v="2024-01-15T00:00:00"/>
    <n v="646"/>
    <d v="2024-01-30T00:00:00"/>
    <n v="646"/>
    <d v="2024-02-14T00:00:00"/>
    <n v="646"/>
  </r>
  <r>
    <s v="415162"/>
    <s v="RadiantVista Holdings"/>
    <d v="2024-04-06T00:00:00"/>
    <x v="11"/>
    <x v="1"/>
    <s v="20.123.456/0001-12"/>
    <s v="Entrada"/>
    <s v="MATERIAL B"/>
    <n v="6415"/>
    <s v="1+3"/>
    <d v="2024-04-07T00:00:00"/>
    <n v="1603.75"/>
    <d v="2024-05-06T00:00:00"/>
    <n v="1603.75"/>
    <d v="2024-05-21T00:00:00"/>
    <n v="1603.75"/>
    <d v="2024-06-05T00:00:00"/>
    <n v="1603.75"/>
  </r>
  <r>
    <s v="325873"/>
    <s v="AeroVista Holdings"/>
    <d v="2023-10-14T00:00:00"/>
    <x v="3"/>
    <x v="0"/>
    <s v="19.012.345/0001-45"/>
    <s v="Saída"/>
    <s v="Impostos"/>
    <n v="-1976"/>
    <s v="1+3"/>
    <d v="2023-10-15T00:00:00"/>
    <n v="-494"/>
    <d v="2023-11-13T00:00:00"/>
    <n v="-494"/>
    <d v="2023-11-28T00:00:00"/>
    <n v="-494"/>
    <d v="2023-12-13T00:00:00"/>
    <n v="-494"/>
  </r>
  <r>
    <s v="1412067"/>
    <s v="BrightWave Technologies"/>
    <d v="2023-11-05T00:00:00"/>
    <x v="10"/>
    <x v="0"/>
    <s v="52.345.678/0001-56"/>
    <s v="Entrada"/>
    <s v="MATERIAL A"/>
    <n v="690"/>
    <s v="A VISTA"/>
    <d v="2023-11-06T00:00:00"/>
    <n v="690"/>
    <m/>
    <m/>
    <m/>
    <m/>
    <m/>
    <m/>
  </r>
  <r>
    <s v="9311066"/>
    <s v="BrightWave Technologies"/>
    <d v="2024-08-08T00:00:00"/>
    <x v="7"/>
    <x v="1"/>
    <s v="52.345.678/0001-56"/>
    <s v="Entrada"/>
    <s v="MATERIAL A"/>
    <n v="4101"/>
    <s v="A VISTA"/>
    <d v="2024-08-09T00:00:00"/>
    <n v="4101"/>
    <m/>
    <m/>
    <m/>
    <m/>
    <m/>
    <m/>
  </r>
  <r>
    <s v="9793167"/>
    <s v="LuminaWave Innovations"/>
    <d v="2024-03-29T00:00:00"/>
    <x v="8"/>
    <x v="1"/>
    <s v="31.234.567/0001-89"/>
    <s v="Entrada"/>
    <s v="MATERIAL A"/>
    <n v="4789"/>
    <s v="1+1"/>
    <d v="2024-03-30T00:00:00"/>
    <n v="2394.5"/>
    <d v="2024-04-28T00:00:00"/>
    <n v="2394.5"/>
    <m/>
    <m/>
    <m/>
    <m/>
  </r>
  <r>
    <s v="431414"/>
    <s v="LuminaWave Innovations"/>
    <d v="2023-12-25T00:00:00"/>
    <x v="9"/>
    <x v="0"/>
    <s v="31.234.567/0001-89"/>
    <s v="Entrada"/>
    <s v="MATERIAL A"/>
    <n v="6021"/>
    <s v="1+3"/>
    <d v="2023-12-26T00:00:00"/>
    <n v="1505.25"/>
    <d v="2024-01-24T00:00:00"/>
    <n v="1505.25"/>
    <d v="2024-02-08T00:00:00"/>
    <n v="1505.25"/>
    <d v="2024-02-23T00:00:00"/>
    <n v="1505.25"/>
  </r>
  <r>
    <s v="98103143"/>
    <s v="VortexDynamics Inc."/>
    <d v="2023-12-09T00:00:00"/>
    <x v="9"/>
    <x v="0"/>
    <s v="56.789.012/0001-34"/>
    <s v="Saída"/>
    <s v="Impostos"/>
    <n v="-1410"/>
    <s v="1+1"/>
    <d v="2023-12-10T00:00:00"/>
    <n v="-705"/>
    <d v="2024-01-08T00:00:00"/>
    <n v="-705"/>
    <m/>
    <m/>
    <m/>
    <m/>
  </r>
  <r>
    <s v="465350"/>
    <s v="VortexDynamics Inc."/>
    <d v="2023-09-08T00:00:00"/>
    <x v="5"/>
    <x v="0"/>
    <s v="56.789.012/0001-34"/>
    <s v="Saída"/>
    <s v="Impostos"/>
    <n v="-818"/>
    <s v="1+2"/>
    <d v="2023-09-09T00:00:00"/>
    <n v="-272.66666666666669"/>
    <d v="2023-10-08T00:00:00"/>
    <n v="-272.66666666666669"/>
    <d v="2023-10-23T00:00:00"/>
    <n v="-272.66666666666669"/>
    <m/>
    <m/>
  </r>
  <r>
    <s v="835264"/>
    <s v="HorizonTech Solutions"/>
    <d v="2023-09-20T00:00:00"/>
    <x v="5"/>
    <x v="0"/>
    <s v="29.012.345/0001-45"/>
    <s v="Entrada"/>
    <s v="MATERIAL B"/>
    <n v="1355"/>
    <s v="1+2"/>
    <d v="2023-09-21T00:00:00"/>
    <n v="451.66666666666669"/>
    <d v="2023-10-20T00:00:00"/>
    <n v="451.66666666666669"/>
    <d v="2023-11-04T00:00:00"/>
    <n v="451.66666666666669"/>
    <m/>
    <m/>
  </r>
  <r>
    <s v="5969219"/>
    <s v="BrightLeaf Innovations"/>
    <d v="2023-05-30T00:00:00"/>
    <x v="1"/>
    <x v="0"/>
    <s v="10.123.456/0001-12"/>
    <s v="Entrada"/>
    <s v="MATERIAL A"/>
    <n v="2689"/>
    <s v="A VISTA"/>
    <d v="2023-05-31T00:00:00"/>
    <n v="2689"/>
    <m/>
    <m/>
    <m/>
    <m/>
    <m/>
    <m/>
  </r>
  <r>
    <s v="6749231"/>
    <s v="QuantumStream Corp."/>
    <d v="2023-11-25T00:00:00"/>
    <x v="10"/>
    <x v="0"/>
    <s v="30.123.456/0001-12"/>
    <s v="Entrada"/>
    <s v="MATERIAL D"/>
    <n v="3042"/>
    <s v="1+3"/>
    <d v="2023-11-26T00:00:00"/>
    <n v="760.5"/>
    <d v="2023-12-25T00:00:00"/>
    <n v="760.5"/>
    <d v="2024-01-09T00:00:00"/>
    <n v="760.5"/>
    <d v="2024-01-24T00:00:00"/>
    <n v="760.5"/>
  </r>
  <r>
    <s v="151257"/>
    <s v="TerraVista Holdings"/>
    <d v="2023-12-11T00:00:00"/>
    <x v="9"/>
    <x v="0"/>
    <s v="45.678.901/0001-67"/>
    <s v="Saída"/>
    <s v="Factoring Fee"/>
    <n v="-4050"/>
    <s v="A VISTA"/>
    <d v="2023-12-12T00:00:00"/>
    <n v="-4050"/>
    <m/>
    <m/>
    <m/>
    <m/>
    <m/>
    <m/>
  </r>
  <r>
    <s v="2892209"/>
    <s v="OmniGlobe Enterprises"/>
    <d v="2023-12-20T00:00:00"/>
    <x v="9"/>
    <x v="0"/>
    <s v="23.456.789/0001-23"/>
    <s v="Entrada"/>
    <s v="MATERIAL E"/>
    <n v="3048"/>
    <s v="1+3"/>
    <d v="2023-12-21T00:00:00"/>
    <n v="762"/>
    <d v="2024-01-19T00:00:00"/>
    <n v="762"/>
    <d v="2024-02-03T00:00:00"/>
    <n v="762"/>
    <d v="2024-02-18T00:00:00"/>
    <n v="762"/>
  </r>
  <r>
    <s v="26104101"/>
    <s v="StellarFusion Corp."/>
    <d v="2024-01-15T00:00:00"/>
    <x v="0"/>
    <x v="1"/>
    <s v="01.234.567/0001-89"/>
    <s v="Saída"/>
    <s v="Pagamentos ADMs"/>
    <n v="-3601"/>
    <s v="A VISTA"/>
    <d v="2024-01-16T00:00:00"/>
    <n v="-3601"/>
    <m/>
    <m/>
    <m/>
    <m/>
    <m/>
    <m/>
  </r>
  <r>
    <s v="6614986"/>
    <s v="AeroVista Holdings"/>
    <d v="2023-09-09T00:00:00"/>
    <x v="5"/>
    <x v="0"/>
    <s v="19.012.345/0001-45"/>
    <s v="Saída"/>
    <s v="Impostos"/>
    <n v="-2213"/>
    <s v="1+3"/>
    <d v="2023-09-10T00:00:00"/>
    <n v="-553.25"/>
    <d v="2023-10-09T00:00:00"/>
    <n v="-553.25"/>
    <d v="2023-10-24T00:00:00"/>
    <n v="-553.25"/>
    <d v="2023-11-08T00:00:00"/>
    <n v="-553.25"/>
  </r>
  <r>
    <s v="552460"/>
    <s v="RadiantSky Labs"/>
    <d v="2023-10-05T00:00:00"/>
    <x v="3"/>
    <x v="0"/>
    <s v="33.456.789/0001-23"/>
    <s v="Estornos"/>
    <s v="EXTRAVIADO"/>
    <n v="8007"/>
    <s v="A VISTA"/>
    <d v="2023-10-06T00:00:00"/>
    <n v="8007"/>
    <m/>
    <m/>
    <m/>
    <m/>
    <m/>
    <m/>
  </r>
  <r>
    <s v="2674156"/>
    <s v="QuantumStream Corp."/>
    <d v="2024-05-30T00:00:00"/>
    <x v="1"/>
    <x v="1"/>
    <s v="30.123.456/0001-12"/>
    <s v="Entrada"/>
    <s v="MATERIAL D"/>
    <n v="8142"/>
    <s v="1+2"/>
    <d v="2024-05-31T00:00:00"/>
    <n v="2714"/>
    <d v="2024-06-29T00:00:00"/>
    <n v="2714"/>
    <d v="2024-07-14T00:00:00"/>
    <n v="2714"/>
    <m/>
    <m/>
  </r>
  <r>
    <s v="523216"/>
    <s v="BlueWave Networks"/>
    <d v="2023-11-28T00:00:00"/>
    <x v="10"/>
    <x v="0"/>
    <s v="22.345.678/0001-56"/>
    <s v="Saída"/>
    <s v="Pagamentos ADMs"/>
    <n v="-6611"/>
    <s v="1+2"/>
    <d v="2023-11-29T00:00:00"/>
    <n v="-2203.6666666666665"/>
    <d v="2023-12-28T00:00:00"/>
    <n v="-2203.6666666666665"/>
    <d v="2024-01-12T00:00:00"/>
    <n v="-2203.6666666666665"/>
    <m/>
    <m/>
  </r>
  <r>
    <s v="9993160"/>
    <s v="ZenTech Solutions"/>
    <d v="2023-08-21T00:00:00"/>
    <x v="7"/>
    <x v="0"/>
    <s v="08.901.234/0001-78"/>
    <s v="Saída"/>
    <s v="Factoring Fee"/>
    <n v="-4532"/>
    <s v="1+2"/>
    <d v="2023-08-22T00:00:00"/>
    <n v="-1510.6666666666667"/>
    <d v="2023-09-20T00:00:00"/>
    <n v="-1510.6666666666667"/>
    <d v="2023-10-05T00:00:00"/>
    <n v="-1510.6666666666667"/>
    <m/>
    <m/>
  </r>
  <r>
    <s v="70138149"/>
    <s v="FusionVista Ventures"/>
    <d v="2024-01-25T00:00:00"/>
    <x v="0"/>
    <x v="1"/>
    <s v="07.890.123/0001-01"/>
    <s v="Entrada"/>
    <s v="MATERIAL E"/>
    <n v="4881"/>
    <s v="1+2"/>
    <d v="2024-01-26T00:00:00"/>
    <n v="1627"/>
    <d v="2024-02-24T00:00:00"/>
    <n v="1627"/>
    <d v="2024-03-10T00:00:00"/>
    <n v="1627"/>
    <m/>
    <m/>
  </r>
  <r>
    <s v="877346"/>
    <s v="ElevatePulse LLC"/>
    <d v="2024-07-11T00:00:00"/>
    <x v="6"/>
    <x v="1"/>
    <s v="85.678.901/0001-67"/>
    <s v="Saída"/>
    <s v="Pagamentos ADMs"/>
    <n v="-708"/>
    <s v="1+1"/>
    <d v="2024-07-12T00:00:00"/>
    <n v="-354"/>
    <d v="2024-08-10T00:00:00"/>
    <n v="-354"/>
    <m/>
    <m/>
    <m/>
    <m/>
  </r>
  <r>
    <s v="41124194"/>
    <s v="CyberLink Corporation"/>
    <d v="2024-03-24T00:00:00"/>
    <x v="8"/>
    <x v="1"/>
    <s v="21.234.567/0001-89"/>
    <s v="Saída"/>
    <s v="Consultoria"/>
    <n v="-2981"/>
    <s v="1+3"/>
    <d v="2024-03-25T00:00:00"/>
    <n v="-745.25"/>
    <d v="2024-04-23T00:00:00"/>
    <n v="-745.25"/>
    <d v="2024-05-08T00:00:00"/>
    <n v="-745.25"/>
    <d v="2024-05-23T00:00:00"/>
    <n v="-745.25"/>
  </r>
  <r>
    <s v="9117218"/>
    <s v="RadiantVista Holdings"/>
    <d v="2023-10-12T00:00:00"/>
    <x v="3"/>
    <x v="0"/>
    <s v="20.123.456/0001-12"/>
    <s v="Entrada"/>
    <s v="MATERIAL B"/>
    <n v="5334"/>
    <s v="A VISTA"/>
    <d v="2023-10-13T00:00:00"/>
    <n v="5334"/>
    <m/>
    <m/>
    <m/>
    <m/>
    <m/>
    <m/>
  </r>
  <r>
    <s v="3266151"/>
    <s v="VertexSolar Power"/>
    <d v="2024-01-18T00:00:00"/>
    <x v="0"/>
    <x v="1"/>
    <s v="55.678.901/0001-67"/>
    <s v="Estornos"/>
    <s v="ENVIO INCORRETO"/>
    <n v="3281"/>
    <s v="A VISTA"/>
    <d v="2024-01-19T00:00:00"/>
    <n v="3281"/>
    <m/>
    <m/>
    <m/>
    <m/>
    <m/>
    <m/>
  </r>
  <r>
    <s v="24128229"/>
    <s v="HorizonTech Solutions"/>
    <d v="2023-12-21T00:00:00"/>
    <x v="9"/>
    <x v="0"/>
    <s v="29.012.345/0001-45"/>
    <s v="Entrada"/>
    <s v="MATERIAL B"/>
    <n v="7392"/>
    <s v="1+1"/>
    <d v="2023-12-22T00:00:00"/>
    <n v="3696"/>
    <d v="2024-01-20T00:00:00"/>
    <n v="3696"/>
    <m/>
    <m/>
    <m/>
    <m/>
  </r>
  <r>
    <s v="88893"/>
    <s v="TerraPeak Enterprises"/>
    <d v="2024-04-26T00:00:00"/>
    <x v="11"/>
    <x v="1"/>
    <s v="41.234.567/0001-89"/>
    <s v="Entrada"/>
    <s v="MATERIAL B"/>
    <n v="3364"/>
    <s v="1+3"/>
    <d v="2024-04-27T00:00:00"/>
    <n v="841"/>
    <d v="2024-05-26T00:00:00"/>
    <n v="841"/>
    <d v="2024-06-10T00:00:00"/>
    <n v="841"/>
    <d v="2024-06-25T00:00:00"/>
    <n v="841"/>
  </r>
  <r>
    <s v="691853"/>
    <s v="LuminaCore Systems"/>
    <d v="2023-12-31T00:00:00"/>
    <x v="9"/>
    <x v="0"/>
    <s v="90.123.456/0001-12"/>
    <s v="Saída"/>
    <s v="Consultoria"/>
    <n v="-870"/>
    <s v="A VISTA"/>
    <d v="2024-01-01T00:00:00"/>
    <n v="-870"/>
    <m/>
    <m/>
    <m/>
    <m/>
    <m/>
    <m/>
  </r>
  <r>
    <s v="4781183"/>
    <s v="FusionEdge Systems"/>
    <d v="2024-07-04T00:00:00"/>
    <x v="6"/>
    <x v="1"/>
    <s v="87.890.123/0001-01"/>
    <s v="Saída"/>
    <s v="Factoring Fee"/>
    <n v="-5221"/>
    <s v="A VISTA"/>
    <d v="2024-07-05T00:00:00"/>
    <n v="-5221"/>
    <m/>
    <m/>
    <m/>
    <m/>
    <m/>
    <m/>
  </r>
  <r>
    <s v="279390"/>
    <s v="StellarFusion Corp."/>
    <d v="2023-10-23T00:00:00"/>
    <x v="3"/>
    <x v="0"/>
    <s v="01.234.567/0001-89"/>
    <s v="Saída"/>
    <s v="Pagamentos ADMs"/>
    <n v="-8538"/>
    <s v="A VISTA"/>
    <d v="2023-10-24T00:00:00"/>
    <n v="-8538"/>
    <m/>
    <m/>
    <m/>
    <m/>
    <m/>
    <m/>
  </r>
  <r>
    <s v="783129"/>
    <s v="QuantumWave Industries"/>
    <d v="2024-01-31T00:00:00"/>
    <x v="0"/>
    <x v="1"/>
    <s v="12.345.678/0001-56"/>
    <s v="Estornos"/>
    <s v="EXTRAVIADO"/>
    <n v="1688"/>
    <s v="A VISTA"/>
    <d v="2024-02-01T00:00:00"/>
    <n v="1688"/>
    <m/>
    <m/>
    <m/>
    <m/>
    <m/>
    <m/>
  </r>
  <r>
    <s v="5410111"/>
    <s v="BlueStone Networks"/>
    <d v="2023-06-02T00:00:00"/>
    <x v="2"/>
    <x v="0"/>
    <s v="53.456.789/0001-23"/>
    <s v="Entrada"/>
    <s v="MATERIAL C"/>
    <n v="1112"/>
    <s v="1+2"/>
    <d v="2023-06-03T00:00:00"/>
    <n v="370.66666666666669"/>
    <d v="2023-07-02T00:00:00"/>
    <n v="370.66666666666669"/>
    <d v="2023-07-17T00:00:00"/>
    <n v="370.66666666666669"/>
    <m/>
    <m/>
  </r>
  <r>
    <s v="78113195"/>
    <s v="TitanFusion Power"/>
    <d v="2024-01-13T00:00:00"/>
    <x v="0"/>
    <x v="1"/>
    <s v="86.789.012/0001-34"/>
    <s v="Entrada"/>
    <s v="MATERIAL E"/>
    <n v="8387"/>
    <s v="A VISTA"/>
    <d v="2024-01-14T00:00:00"/>
    <n v="8387"/>
    <m/>
    <m/>
    <m/>
    <m/>
    <m/>
    <m/>
  </r>
  <r>
    <s v="54115174"/>
    <s v="RadiantVista Holdings"/>
    <d v="2024-01-04T00:00:00"/>
    <x v="0"/>
    <x v="1"/>
    <s v="20.123.456/0001-12"/>
    <s v="Entrada"/>
    <s v="MATERIAL B"/>
    <n v="1802"/>
    <s v="1+1"/>
    <d v="2024-01-05T00:00:00"/>
    <n v="901"/>
    <d v="2024-02-03T00:00:00"/>
    <n v="901"/>
    <m/>
    <m/>
    <m/>
    <m/>
  </r>
  <r>
    <s v="5569179"/>
    <s v="BlueWave Networks"/>
    <d v="2023-09-18T00:00:00"/>
    <x v="5"/>
    <x v="0"/>
    <s v="22.345.678/0001-56"/>
    <s v="Saída"/>
    <s v="Pagamentos ADMs"/>
    <n v="-5788"/>
    <s v="1+1"/>
    <d v="2023-09-19T00:00:00"/>
    <n v="-2894"/>
    <d v="2023-10-18T00:00:00"/>
    <n v="-2894"/>
    <m/>
    <m/>
    <m/>
    <m/>
  </r>
  <r>
    <s v="9493176"/>
    <s v="VortexDynamics Inc."/>
    <d v="2023-11-24T00:00:00"/>
    <x v="10"/>
    <x v="0"/>
    <s v="56.789.012/0001-34"/>
    <s v="Saída"/>
    <s v="Impostos"/>
    <n v="-5519"/>
    <s v="1+3"/>
    <d v="2023-11-25T00:00:00"/>
    <n v="-1379.75"/>
    <d v="2023-12-24T00:00:00"/>
    <n v="-1379.75"/>
    <d v="2024-01-08T00:00:00"/>
    <n v="-1379.75"/>
    <d v="2024-01-23T00:00:00"/>
    <n v="-1379.75"/>
  </r>
  <r>
    <s v="4511089"/>
    <s v="RadiantVista Holdings"/>
    <d v="2023-03-21T00:00:00"/>
    <x v="8"/>
    <x v="0"/>
    <s v="20.123.456/0001-12"/>
    <s v="Entrada"/>
    <s v="MATERIAL B"/>
    <n v="9182"/>
    <s v="A VISTA"/>
    <d v="2023-03-22T00:00:00"/>
    <n v="9182"/>
    <m/>
    <m/>
    <m/>
    <m/>
    <m/>
    <m/>
  </r>
  <r>
    <s v="3775123"/>
    <s v="LuminaCore Systems"/>
    <d v="2023-09-02T00:00:00"/>
    <x v="5"/>
    <x v="0"/>
    <s v="90.123.456/0001-12"/>
    <s v="Saída"/>
    <s v="Consultoria"/>
    <n v="-3154"/>
    <s v="1+3"/>
    <d v="2023-09-03T00:00:00"/>
    <n v="-788.5"/>
    <d v="2023-10-02T00:00:00"/>
    <n v="-788.5"/>
    <d v="2023-10-17T00:00:00"/>
    <n v="-788.5"/>
    <d v="2023-11-01T00:00:00"/>
    <n v="-788.5"/>
  </r>
  <r>
    <s v="66621"/>
    <s v="StellarWave Technologies"/>
    <d v="2024-05-25T00:00:00"/>
    <x v="1"/>
    <x v="1"/>
    <s v="76.789.012/0001-34"/>
    <s v="Estornos"/>
    <s v="ENVIO INCORRETO"/>
    <n v="6164"/>
    <s v="A VISTA"/>
    <d v="2024-05-26T00:00:00"/>
    <n v="6164"/>
    <m/>
    <m/>
    <m/>
    <m/>
    <m/>
    <m/>
  </r>
  <r>
    <s v="8713113"/>
    <s v="FusionPeak Technologies"/>
    <d v="2024-08-03T00:00:00"/>
    <x v="7"/>
    <x v="1"/>
    <s v="67.890.123/0001-01"/>
    <s v="Entrada"/>
    <s v="MATERIAL D"/>
    <n v="3859"/>
    <s v="A VISTA"/>
    <d v="2024-08-04T00:00:00"/>
    <n v="3859"/>
    <m/>
    <m/>
    <m/>
    <m/>
    <m/>
    <m/>
  </r>
  <r>
    <s v="9798240"/>
    <s v="RadiantSky Labs"/>
    <d v="2024-04-28T00:00:00"/>
    <x v="11"/>
    <x v="1"/>
    <s v="33.456.789/0001-23"/>
    <s v="Estornos"/>
    <s v="EXTRAVIADO"/>
    <n v="6257"/>
    <s v="A VISTA"/>
    <d v="2024-04-29T00:00:00"/>
    <n v="6257"/>
    <m/>
    <m/>
    <m/>
    <m/>
    <m/>
    <m/>
  </r>
  <r>
    <s v="648764"/>
    <s v="CrimsonEdge Dynamics"/>
    <d v="2023-07-10T00:00:00"/>
    <x v="6"/>
    <x v="0"/>
    <s v="97.890.123/0001-01"/>
    <s v="Estornos"/>
    <s v="ENVIO INCORRETO"/>
    <n v="4081"/>
    <s v="A VISTA"/>
    <d v="2023-07-11T00:00:00"/>
    <n v="4081"/>
    <m/>
    <m/>
    <m/>
    <m/>
    <m/>
    <m/>
  </r>
  <r>
    <s v="9692243"/>
    <s v="ElevateX Solutions"/>
    <d v="2024-02-24T00:00:00"/>
    <x v="4"/>
    <x v="1"/>
    <s v="43.456.789/0001-23"/>
    <s v="Saída"/>
    <s v="Pagamentos ADMs"/>
    <n v="-8508"/>
    <s v="1+1"/>
    <d v="2024-02-25T00:00:00"/>
    <n v="-4254"/>
    <d v="2024-03-25T00:00:00"/>
    <n v="-4254"/>
    <m/>
    <m/>
    <m/>
    <m/>
  </r>
  <r>
    <s v="788142"/>
    <s v="LuminaCore Systems"/>
    <d v="2024-01-20T00:00:00"/>
    <x v="0"/>
    <x v="1"/>
    <s v="90.123.456/0001-12"/>
    <s v="Saída"/>
    <s v="Consultoria"/>
    <n v="-8975"/>
    <s v="1+1"/>
    <d v="2024-01-21T00:00:00"/>
    <n v="-4487.5"/>
    <d v="2024-02-19T00:00:00"/>
    <n v="-4487.5"/>
    <m/>
    <m/>
    <m/>
    <m/>
  </r>
  <r>
    <s v="2623180"/>
    <s v="TerraFusion Industries"/>
    <d v="2024-03-27T00:00:00"/>
    <x v="8"/>
    <x v="1"/>
    <s v="54.567.890/0001-90"/>
    <s v="Estornos"/>
    <s v="EXTRAVIADO"/>
    <n v="5195"/>
    <s v="A VISTA"/>
    <d v="2024-03-28T00:00:00"/>
    <n v="5195"/>
    <m/>
    <m/>
    <m/>
    <m/>
    <m/>
    <m/>
  </r>
  <r>
    <s v="69126179"/>
    <s v="InfinitySky Labs"/>
    <d v="2024-02-10T00:00:00"/>
    <x v="4"/>
    <x v="1"/>
    <s v="75.678.901/0001-67"/>
    <s v="Estornos"/>
    <s v="EXTRAVIADO"/>
    <n v="5649"/>
    <s v="A VISTA"/>
    <d v="2024-02-11T00:00:00"/>
    <n v="5649"/>
    <m/>
    <m/>
    <m/>
    <m/>
    <m/>
    <m/>
  </r>
  <r>
    <s v="21111180"/>
    <s v="TitanFusion Power"/>
    <d v="2024-09-08T00:00:00"/>
    <x v="5"/>
    <x v="1"/>
    <s v="86.789.012/0001-34"/>
    <s v="Entrada"/>
    <s v="MATERIAL E"/>
    <n v="527"/>
    <s v="1+2"/>
    <d v="2024-09-09T00:00:00"/>
    <n v="175.66666666666666"/>
    <d v="2024-10-08T00:00:00"/>
    <n v="175.66666666666666"/>
    <d v="2024-10-23T00:00:00"/>
    <n v="175.66666666666666"/>
    <m/>
    <m/>
  </r>
  <r>
    <s v="5987113"/>
    <s v="LuminaWave Innovations"/>
    <d v="2024-04-22T00:00:00"/>
    <x v="11"/>
    <x v="1"/>
    <s v="31.234.567/0001-89"/>
    <s v="Entrada"/>
    <s v="MATERIAL A"/>
    <n v="7277"/>
    <s v="A VISTA"/>
    <d v="2024-04-23T00:00:00"/>
    <n v="7277"/>
    <m/>
    <m/>
    <m/>
    <m/>
    <m/>
    <m/>
  </r>
  <r>
    <s v="2912028"/>
    <s v="RadiantSky Labs"/>
    <d v="2023-12-11T00:00:00"/>
    <x v="9"/>
    <x v="0"/>
    <s v="33.456.789/0001-23"/>
    <s v="Estornos"/>
    <s v="EXTRAVIADO"/>
    <n v="6242"/>
    <s v="A VISTA"/>
    <d v="2023-12-12T00:00:00"/>
    <n v="6242"/>
    <m/>
    <m/>
    <m/>
    <m/>
    <m/>
    <m/>
  </r>
  <r>
    <s v="358144"/>
    <s v="FusionEdge Systems"/>
    <d v="2023-12-10T00:00:00"/>
    <x v="9"/>
    <x v="0"/>
    <s v="87.890.123/0001-01"/>
    <s v="Saída"/>
    <s v="Factoring Fee"/>
    <n v="-9670"/>
    <s v="1+1"/>
    <d v="2023-12-11T00:00:00"/>
    <n v="-4835"/>
    <d v="2024-01-09T00:00:00"/>
    <n v="-4835"/>
    <m/>
    <m/>
    <m/>
    <m/>
  </r>
  <r>
    <s v="96376"/>
    <s v="TerraPeak Enterprises"/>
    <d v="2023-10-01T00:00:00"/>
    <x v="3"/>
    <x v="0"/>
    <s v="41.234.567/0001-89"/>
    <s v="Entrada"/>
    <s v="MATERIAL B"/>
    <n v="2636"/>
    <s v="A VISTA"/>
    <d v="2023-10-02T00:00:00"/>
    <n v="2636"/>
    <m/>
    <m/>
    <m/>
    <m/>
    <m/>
    <m/>
  </r>
  <r>
    <s v="8926142"/>
    <s v="ZenithStream Technologies"/>
    <d v="2024-02-03T00:00:00"/>
    <x v="4"/>
    <x v="1"/>
    <s v="77.890.123/0001-01"/>
    <s v="Saída"/>
    <s v="Impostos"/>
    <n v="-1670"/>
    <s v="1+3"/>
    <d v="2024-02-04T00:00:00"/>
    <n v="-417.5"/>
    <d v="2024-03-04T00:00:00"/>
    <n v="-417.5"/>
    <d v="2024-03-19T00:00:00"/>
    <n v="-417.5"/>
    <d v="2024-04-03T00:00:00"/>
    <n v="-417.5"/>
  </r>
  <r>
    <s v="877120"/>
    <s v="QuantumEcho Labs"/>
    <d v="2023-09-18T00:00:00"/>
    <x v="5"/>
    <x v="0"/>
    <s v="74.567.890/0001-90"/>
    <s v="Entrada"/>
    <s v="MATERIAL C"/>
    <n v="1754"/>
    <s v="1+1"/>
    <d v="2023-09-19T00:00:00"/>
    <n v="877"/>
    <d v="2023-10-18T00:00:00"/>
    <n v="877"/>
    <m/>
    <m/>
    <m/>
    <m/>
  </r>
  <r>
    <s v="3812224"/>
    <s v="OmniGlobe Enterprises"/>
    <d v="2023-12-29T00:00:00"/>
    <x v="9"/>
    <x v="0"/>
    <s v="23.456.789/0001-23"/>
    <s v="Entrada"/>
    <s v="MATERIAL E"/>
    <n v="1967"/>
    <s v="A VISTA"/>
    <d v="2023-12-30T00:00:00"/>
    <n v="1967"/>
    <m/>
    <m/>
    <m/>
    <m/>
    <m/>
    <m/>
  </r>
  <r>
    <s v="3711246"/>
    <s v="TitanEdge Enterprises"/>
    <d v="2024-02-21T00:00:00"/>
    <x v="4"/>
    <x v="1"/>
    <s v="44.567.890/0001-90"/>
    <s v="Entrada"/>
    <s v="MATERIAL E"/>
    <n v="2838"/>
    <s v="A VISTA"/>
    <d v="2024-02-22T00:00:00"/>
    <n v="2838"/>
    <m/>
    <m/>
    <m/>
    <m/>
    <m/>
    <m/>
  </r>
  <r>
    <s v="105897"/>
    <s v="HorizonTech Solutions"/>
    <d v="2024-04-05T00:00:00"/>
    <x v="11"/>
    <x v="1"/>
    <s v="29.012.345/0001-45"/>
    <s v="Entrada"/>
    <s v="MATERIAL B"/>
    <n v="6251"/>
    <s v="A VISTA"/>
    <d v="2024-04-06T00:00:00"/>
    <n v="6251"/>
    <m/>
    <m/>
    <m/>
    <m/>
    <m/>
    <m/>
  </r>
  <r>
    <s v="61497"/>
    <s v="QuantumPulse LLC"/>
    <d v="2024-01-10T00:00:00"/>
    <x v="0"/>
    <x v="1"/>
    <s v="32.345.678/0001-56"/>
    <s v="Entrada"/>
    <s v="MATERIAL C"/>
    <n v="8439"/>
    <s v="1+2"/>
    <d v="2024-01-11T00:00:00"/>
    <n v="2813"/>
    <d v="2024-02-09T00:00:00"/>
    <n v="2813"/>
    <d v="2024-02-24T00:00:00"/>
    <n v="2813"/>
    <m/>
    <m/>
  </r>
  <r>
    <s v="6414549"/>
    <s v="FusionEdge Systems"/>
    <d v="2024-06-30T00:00:00"/>
    <x v="2"/>
    <x v="1"/>
    <s v="87.890.123/0001-01"/>
    <s v="Saída"/>
    <s v="Factoring Fee"/>
    <n v="-8706"/>
    <s v="1+1"/>
    <d v="2024-07-01T00:00:00"/>
    <n v="-4353"/>
    <d v="2024-07-30T00:00:00"/>
    <n v="-4353"/>
    <m/>
    <m/>
    <m/>
    <m/>
  </r>
  <r>
    <s v="1211519"/>
    <s v="ElevateX Solutions"/>
    <d v="2023-09-11T00:00:00"/>
    <x v="5"/>
    <x v="0"/>
    <s v="43.456.789/0001-23"/>
    <s v="Saída"/>
    <s v="Pagamentos ADMs"/>
    <n v="-9705"/>
    <s v="A VISTA"/>
    <d v="2023-09-12T00:00:00"/>
    <n v="-9705"/>
    <m/>
    <m/>
    <m/>
    <m/>
    <m/>
    <m/>
  </r>
  <r>
    <s v="58597"/>
    <s v="QuantumEcho Labs"/>
    <d v="2023-12-12T00:00:00"/>
    <x v="9"/>
    <x v="0"/>
    <s v="74.567.890/0001-90"/>
    <s v="Entrada"/>
    <s v="MATERIAL C"/>
    <n v="2802"/>
    <s v="1+2"/>
    <d v="2023-12-13T00:00:00"/>
    <n v="934"/>
    <d v="2024-01-11T00:00:00"/>
    <n v="934"/>
    <d v="2024-01-26T00:00:00"/>
    <n v="934"/>
    <m/>
    <m/>
  </r>
  <r>
    <s v="567102"/>
    <s v="CrimsonCrest Dynamics"/>
    <d v="2024-06-12T00:00:00"/>
    <x v="2"/>
    <x v="1"/>
    <s v="66.789.012/0001-34"/>
    <s v="Saída"/>
    <s v="Factoring Fee"/>
    <n v="-4886"/>
    <s v="A VISTA"/>
    <d v="2024-06-13T00:00:00"/>
    <n v="-4886"/>
    <m/>
    <m/>
    <m/>
    <m/>
    <m/>
    <m/>
  </r>
  <r>
    <s v="127655"/>
    <s v="SilverPulse Ventures"/>
    <d v="2024-07-26T00:00:00"/>
    <x v="6"/>
    <x v="1"/>
    <s v="42.345.678/0001-56"/>
    <s v="Saída"/>
    <s v="Consultoria"/>
    <n v="-5905"/>
    <s v="A VISTA"/>
    <d v="2024-07-27T00:00:00"/>
    <n v="-5905"/>
    <m/>
    <m/>
    <m/>
    <m/>
    <m/>
    <m/>
  </r>
  <r>
    <s v="67127212"/>
    <s v="NovaSphere Industries"/>
    <d v="2023-09-15T00:00:00"/>
    <x v="5"/>
    <x v="0"/>
    <s v="99.012.345/0001-45"/>
    <s v="Entrada"/>
    <s v="MATERIAL B"/>
    <n v="7209"/>
    <s v="1+3"/>
    <d v="2023-09-16T00:00:00"/>
    <n v="1802.25"/>
    <d v="2023-10-15T00:00:00"/>
    <n v="1802.25"/>
    <d v="2023-10-30T00:00:00"/>
    <n v="1802.25"/>
    <d v="2023-11-14T00:00:00"/>
    <n v="1802.25"/>
  </r>
  <r>
    <s v="306368"/>
    <s v="OmniCore Systems"/>
    <d v="2023-11-12T00:00:00"/>
    <x v="10"/>
    <x v="0"/>
    <s v="64.567.890/0001-90"/>
    <s v="Saída"/>
    <s v="Pagamentos ADMs"/>
    <n v="-9939"/>
    <s v="1+3"/>
    <d v="2023-11-13T00:00:00"/>
    <n v="-2484.75"/>
    <d v="2023-12-12T00:00:00"/>
    <n v="-2484.75"/>
    <d v="2023-12-27T00:00:00"/>
    <n v="-2484.75"/>
    <d v="2024-01-11T00:00:00"/>
    <n v="-2484.75"/>
  </r>
  <r>
    <s v="36144250"/>
    <s v="BrightWave Technologies"/>
    <d v="2024-02-04T00:00:00"/>
    <x v="4"/>
    <x v="1"/>
    <s v="52.345.678/0001-56"/>
    <s v="Entrada"/>
    <s v="MATERIAL A"/>
    <n v="9183"/>
    <s v="1+1"/>
    <d v="2024-02-05T00:00:00"/>
    <n v="4591.5"/>
    <d v="2024-03-05T00:00:00"/>
    <n v="4591.5"/>
    <m/>
    <m/>
    <m/>
    <m/>
  </r>
  <r>
    <s v="6146155"/>
    <s v="HorizonNexus Corp."/>
    <d v="2023-09-24T00:00:00"/>
    <x v="5"/>
    <x v="0"/>
    <s v="09.012.345/0001-45"/>
    <s v="Entrada"/>
    <s v="MATERIAL D"/>
    <n v="6641"/>
    <s v="1+3"/>
    <d v="2023-09-25T00:00:00"/>
    <n v="1660.25"/>
    <d v="2023-10-24T00:00:00"/>
    <n v="1660.25"/>
    <d v="2023-11-08T00:00:00"/>
    <n v="1660.25"/>
    <d v="2023-11-23T00:00:00"/>
    <n v="1660.25"/>
  </r>
  <r>
    <s v="204473"/>
    <s v="TerraVista Holdings"/>
    <d v="2023-10-11T00:00:00"/>
    <x v="3"/>
    <x v="0"/>
    <s v="45.678.901/0001-67"/>
    <s v="Saída"/>
    <s v="Factoring Fee"/>
    <n v="-4292"/>
    <s v="A VISTA"/>
    <d v="2023-10-12T00:00:00"/>
    <n v="-4292"/>
    <m/>
    <m/>
    <m/>
    <m/>
    <m/>
    <m/>
  </r>
  <r>
    <s v="981209"/>
    <s v="VortexLeaf Dynamics"/>
    <d v="2023-08-29T00:00:00"/>
    <x v="7"/>
    <x v="0"/>
    <s v="18.901.234/0001-78"/>
    <s v="Entrada"/>
    <s v="MATERIAL D"/>
    <n v="6758"/>
    <s v="A VISTA"/>
    <d v="2023-08-30T00:00:00"/>
    <n v="6758"/>
    <m/>
    <m/>
    <m/>
    <m/>
    <m/>
    <m/>
  </r>
  <r>
    <s v="53140107"/>
    <s v="QuantumWave Industries"/>
    <d v="2024-01-13T00:00:00"/>
    <x v="0"/>
    <x v="1"/>
    <s v="12.345.678/0001-56"/>
    <s v="Estornos"/>
    <s v="EXTRAVIADO"/>
    <n v="490"/>
    <s v="A VISTA"/>
    <d v="2024-01-14T00:00:00"/>
    <n v="490"/>
    <m/>
    <m/>
    <m/>
    <m/>
    <m/>
    <m/>
  </r>
  <r>
    <s v="8314373"/>
    <s v="QuantumStream Corp."/>
    <d v="2024-04-15T00:00:00"/>
    <x v="11"/>
    <x v="1"/>
    <s v="30.123.456/0001-12"/>
    <s v="Entrada"/>
    <s v="MATERIAL D"/>
    <n v="4256"/>
    <s v="A VISTA"/>
    <d v="2024-04-16T00:00:00"/>
    <n v="4256"/>
    <m/>
    <m/>
    <m/>
    <m/>
    <m/>
    <m/>
  </r>
  <r>
    <s v="41312"/>
    <s v="VortexPeak Dynamics"/>
    <d v="2023-09-23T00:00:00"/>
    <x v="5"/>
    <x v="0"/>
    <s v="98.901.234/0001-78"/>
    <s v="Saída"/>
    <s v="Impostos"/>
    <n v="-3784"/>
    <s v="1+3"/>
    <d v="2023-09-24T00:00:00"/>
    <n v="-946"/>
    <d v="2023-10-23T00:00:00"/>
    <n v="-946"/>
    <d v="2023-11-07T00:00:00"/>
    <n v="-946"/>
    <d v="2023-11-22T00:00:00"/>
    <n v="-946"/>
  </r>
  <r>
    <s v="91684"/>
    <s v="TitanFusion Power"/>
    <d v="2023-11-29T00:00:00"/>
    <x v="10"/>
    <x v="0"/>
    <s v="86.789.012/0001-34"/>
    <s v="Entrada"/>
    <s v="MATERIAL E"/>
    <n v="7456"/>
    <s v="1+3"/>
    <d v="2023-11-30T00:00:00"/>
    <n v="1864"/>
    <d v="2023-12-29T00:00:00"/>
    <n v="1864"/>
    <d v="2024-01-13T00:00:00"/>
    <n v="1864"/>
    <d v="2024-01-28T00:00:00"/>
    <n v="1864"/>
  </r>
  <r>
    <s v="37128172"/>
    <s v="BrightWave Technologies"/>
    <d v="2023-12-23T00:00:00"/>
    <x v="9"/>
    <x v="0"/>
    <s v="52.345.678/0001-56"/>
    <s v="Entrada"/>
    <s v="MATERIAL A"/>
    <n v="1344"/>
    <s v="1+3"/>
    <d v="2023-12-24T00:00:00"/>
    <n v="336"/>
    <d v="2024-01-22T00:00:00"/>
    <n v="336"/>
    <d v="2024-02-06T00:00:00"/>
    <n v="336"/>
    <d v="2024-02-21T00:00:00"/>
    <n v="336"/>
  </r>
  <r>
    <s v="6010124"/>
    <s v="CyberLink Corporation"/>
    <d v="2023-12-06T00:00:00"/>
    <x v="9"/>
    <x v="0"/>
    <s v="21.234.567/0001-89"/>
    <s v="Saída"/>
    <s v="Consultoria"/>
    <n v="-8367"/>
    <s v="A VISTA"/>
    <d v="2023-12-07T00:00:00"/>
    <n v="-8367"/>
    <m/>
    <m/>
    <m/>
    <m/>
    <m/>
    <m/>
  </r>
  <r>
    <s v="4378109"/>
    <s v="QuantumWave Industries"/>
    <d v="2024-02-11T00:00:00"/>
    <x v="4"/>
    <x v="1"/>
    <s v="12.345.678/0001-56"/>
    <s v="Estornos"/>
    <s v="EXTRAVIADO"/>
    <n v="9077"/>
    <s v="A VISTA"/>
    <d v="2024-02-12T00:00:00"/>
    <n v="9077"/>
    <m/>
    <m/>
    <m/>
    <m/>
    <m/>
    <m/>
  </r>
  <r>
    <s v="914330"/>
    <s v="StellarFusion Corp."/>
    <d v="2023-09-13T00:00:00"/>
    <x v="5"/>
    <x v="0"/>
    <s v="01.234.567/0001-89"/>
    <s v="Saída"/>
    <s v="Pagamentos ADMs"/>
    <n v="-6656"/>
    <s v="1+2"/>
    <d v="2023-09-14T00:00:00"/>
    <n v="-2218.6666666666665"/>
    <d v="2023-10-13T00:00:00"/>
    <n v="-2218.6666666666665"/>
    <d v="2023-10-28T00:00:00"/>
    <n v="-2218.6666666666665"/>
    <m/>
    <m/>
  </r>
  <r>
    <s v="1004763"/>
    <s v="VortexDynamics Inc."/>
    <d v="2023-08-22T00:00:00"/>
    <x v="7"/>
    <x v="0"/>
    <s v="56.789.012/0001-34"/>
    <s v="Saída"/>
    <s v="Impostos"/>
    <n v="-9287"/>
    <s v="1+1"/>
    <d v="2023-08-23T00:00:00"/>
    <n v="-4643.5"/>
    <d v="2023-09-21T00:00:00"/>
    <n v="-4643.5"/>
    <m/>
    <m/>
    <m/>
    <m/>
  </r>
  <r>
    <s v="31545"/>
    <s v="SilverPulse Ventures"/>
    <d v="2023-11-14T00:00:00"/>
    <x v="10"/>
    <x v="0"/>
    <s v="42.345.678/0001-56"/>
    <s v="Saída"/>
    <s v="Consultoria"/>
    <n v="-3141"/>
    <s v="1+3"/>
    <d v="2023-11-15T00:00:00"/>
    <n v="-785.25"/>
    <d v="2023-12-14T00:00:00"/>
    <n v="-785.25"/>
    <d v="2023-12-29T00:00:00"/>
    <n v="-785.25"/>
    <d v="2024-01-13T00:00:00"/>
    <n v="-785.25"/>
  </r>
  <r>
    <s v="2445233"/>
    <s v="OmniCore Systems"/>
    <d v="2024-04-26T00:00:00"/>
    <x v="11"/>
    <x v="1"/>
    <s v="64.567.890/0001-90"/>
    <s v="Saída"/>
    <s v="Pagamentos ADMs"/>
    <n v="-5094"/>
    <s v="1+2"/>
    <d v="2024-04-27T00:00:00"/>
    <n v="-1698"/>
    <d v="2024-05-26T00:00:00"/>
    <n v="-1698"/>
    <d v="2024-06-10T00:00:00"/>
    <n v="-1698"/>
    <m/>
    <m/>
  </r>
  <r>
    <s v="43128136"/>
    <s v="FusionPeak Technologies"/>
    <d v="2023-11-12T00:00:00"/>
    <x v="10"/>
    <x v="0"/>
    <s v="67.890.123/0001-01"/>
    <s v="Entrada"/>
    <s v="MATERIAL D"/>
    <n v="430"/>
    <s v="1+3"/>
    <d v="2023-11-13T00:00:00"/>
    <n v="107.5"/>
    <d v="2023-12-12T00:00:00"/>
    <n v="107.5"/>
    <d v="2023-12-27T00:00:00"/>
    <n v="107.5"/>
    <d v="2024-01-11T00:00:00"/>
    <n v="107.5"/>
  </r>
  <r>
    <s v="3636179"/>
    <s v="QuantumEcho Labs"/>
    <d v="2024-01-09T00:00:00"/>
    <x v="0"/>
    <x v="1"/>
    <s v="74.567.890/0001-90"/>
    <s v="Entrada"/>
    <s v="MATERIAL C"/>
    <n v="595"/>
    <s v="1+1"/>
    <d v="2024-01-10T00:00:00"/>
    <n v="297.5"/>
    <d v="2024-02-08T00:00:00"/>
    <n v="297.5"/>
    <m/>
    <m/>
    <m/>
    <m/>
  </r>
  <r>
    <s v="19148124"/>
    <s v="HorizonNexus Corp."/>
    <d v="2024-05-18T00:00:00"/>
    <x v="1"/>
    <x v="1"/>
    <s v="09.012.345/0001-45"/>
    <s v="Entrada"/>
    <s v="MATERIAL D"/>
    <n v="8491"/>
    <s v="1+1"/>
    <d v="2024-05-19T00:00:00"/>
    <n v="4245.5"/>
    <d v="2024-06-17T00:00:00"/>
    <n v="4245.5"/>
    <m/>
    <m/>
    <m/>
    <m/>
  </r>
  <r>
    <s v="8082135"/>
    <s v="OmniGlobe Enterprises"/>
    <d v="2023-08-28T00:00:00"/>
    <x v="7"/>
    <x v="0"/>
    <s v="23.456.789/0001-23"/>
    <s v="Entrada"/>
    <s v="MATERIAL E"/>
    <n v="8360"/>
    <s v="A VISTA"/>
    <d v="2023-08-29T00:00:00"/>
    <n v="836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EDB62-F399-4462-8168-82B5DA80289A}" name="Tabela dinâmica10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7">
  <location ref="A104:B127" firstHeaderRow="1" firstDataRow="1" firstDataCol="1"/>
  <pivotFields count="18">
    <pivotField showAll="0"/>
    <pivotField showAll="0"/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numFmtId="165" showAll="0"/>
    <pivotField showAll="0"/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3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oma de R$ TOTAL" fld="8" baseField="0" baseItem="0"/>
  </dataFields>
  <chartFormats count="8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6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6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6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6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6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04CE0-F046-4EF7-A1DE-D445022D40DF}" name="Tabela dinâ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6">
  <location ref="D65:E71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axis="axisRow" showAll="0" measureFilter="1" sortType="ascending">
      <items count="50">
        <item x="7"/>
        <item x="24"/>
        <item x="28"/>
        <item x="41"/>
        <item x="48"/>
        <item x="23"/>
        <item x="15"/>
        <item x="46"/>
        <item x="1"/>
        <item x="26"/>
        <item x="9"/>
        <item x="29"/>
        <item x="30"/>
        <item x="0"/>
        <item x="5"/>
        <item x="34"/>
        <item x="21"/>
        <item x="31"/>
        <item x="40"/>
        <item x="18"/>
        <item x="2"/>
        <item x="44"/>
        <item x="32"/>
        <item x="43"/>
        <item x="3"/>
        <item x="42"/>
        <item x="39"/>
        <item x="22"/>
        <item x="25"/>
        <item x="36"/>
        <item x="13"/>
        <item x="27"/>
        <item x="47"/>
        <item x="8"/>
        <item x="33"/>
        <item x="19"/>
        <item x="20"/>
        <item x="38"/>
        <item x="35"/>
        <item x="16"/>
        <item x="17"/>
        <item x="12"/>
        <item x="14"/>
        <item x="11"/>
        <item x="10"/>
        <item x="37"/>
        <item x="6"/>
        <item x="4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38"/>
    </i>
    <i>
      <x v="40"/>
    </i>
    <i>
      <x v="26"/>
    </i>
    <i>
      <x v="43"/>
    </i>
    <i>
      <x v="1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32CE6-2B7A-41D9-85FB-CEC003FA11BE}" name="Tabela dinâ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9">
  <location ref="A65:B71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axis="axisRow" showAll="0" measureFilter="1" sortType="ascending">
      <items count="50">
        <item x="7"/>
        <item x="24"/>
        <item x="28"/>
        <item x="41"/>
        <item x="48"/>
        <item x="23"/>
        <item x="15"/>
        <item x="46"/>
        <item x="1"/>
        <item x="26"/>
        <item x="9"/>
        <item x="29"/>
        <item x="30"/>
        <item x="0"/>
        <item x="5"/>
        <item x="34"/>
        <item x="21"/>
        <item x="31"/>
        <item x="40"/>
        <item x="18"/>
        <item x="2"/>
        <item x="44"/>
        <item x="32"/>
        <item x="43"/>
        <item x="3"/>
        <item x="42"/>
        <item x="39"/>
        <item x="22"/>
        <item x="25"/>
        <item x="36"/>
        <item x="13"/>
        <item x="27"/>
        <item x="47"/>
        <item x="8"/>
        <item x="33"/>
        <item x="19"/>
        <item x="20"/>
        <item x="38"/>
        <item x="35"/>
        <item x="16"/>
        <item x="17"/>
        <item x="12"/>
        <item x="14"/>
        <item x="11"/>
        <item x="10"/>
        <item x="37"/>
        <item x="6"/>
        <item x="4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9"/>
    </i>
    <i>
      <x v="41"/>
    </i>
    <i>
      <x v="31"/>
    </i>
    <i>
      <x v="24"/>
    </i>
    <i>
      <x v="33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857F8C-B150-469F-B7F9-0B5F0A681E8E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0">
  <location ref="G3:H23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0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CE908-17F7-4F8C-B7E0-135B0C97D298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2">
  <location ref="D3:E24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1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EFA3BC-B28F-4BF7-866F-5DA6C80C7D0B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9">
  <location ref="A3:B26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3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formats count="1">
    <format dxfId="34">
      <pivotArea collapsedLevelsAreSubtotals="1" fieldPosition="0">
        <references count="2">
          <reference field="3" count="1">
            <x v="8"/>
          </reference>
          <reference field="4" count="1" selected="0">
            <x v="0"/>
          </reference>
        </references>
      </pivotArea>
    </format>
  </formats>
  <chartFormats count="5"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8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8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8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°_NOTA_FISCAL" xr10:uid="{97AD13C8-F012-4DF1-8FEC-F3C41A870771}" sourceName="N° NOTA FISCAL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502">
        <i x="0" s="1"/>
        <i x="158" s="1"/>
        <i x="398" s="1"/>
        <i x="41" s="1"/>
        <i x="492" s="1"/>
        <i x="168" s="1"/>
        <i x="18" s="1"/>
        <i x="416" s="1"/>
        <i x="13" s="1"/>
        <i x="471" s="1"/>
        <i x="152" s="1"/>
        <i x="344" s="1"/>
        <i x="47" s="1"/>
        <i x="234" s="1"/>
        <i x="125" s="1"/>
        <i x="51" s="1"/>
        <i x="107" s="1"/>
        <i x="474" s="1"/>
        <i x="287" s="1"/>
        <i x="244" s="1"/>
        <i x="328" s="1"/>
        <i x="300" s="1"/>
        <i x="53" s="1"/>
        <i x="193" s="1"/>
        <i x="477" s="1"/>
        <i x="93" s="1"/>
        <i x="228" s="1"/>
        <i x="135" s="1"/>
        <i x="338" s="1"/>
        <i x="359" s="1"/>
        <i x="204" s="1"/>
        <i x="395" s="1"/>
        <i x="419" s="1"/>
        <i x="10" s="1"/>
        <i x="318" s="1"/>
        <i x="44" s="1"/>
        <i x="201" s="1"/>
        <i x="428" s="1"/>
        <i x="34" s="1"/>
        <i x="167" s="1"/>
        <i x="43" s="1"/>
        <i x="59" s="1"/>
        <i x="371" s="1"/>
        <i x="271" s="1"/>
        <i x="102" s="1"/>
        <i x="147" s="1"/>
        <i x="226" s="1"/>
        <i x="347" s="1"/>
        <i x="36" s="1"/>
        <i x="121" s="1"/>
        <i x="350" s="1"/>
        <i x="370" s="1"/>
        <i x="75" s="1"/>
        <i x="218" s="1"/>
        <i x="221" s="1"/>
        <i x="145" s="1"/>
        <i x="58" s="1"/>
        <i x="119" s="1"/>
        <i x="217" s="1"/>
        <i x="115" s="1"/>
        <i x="232" s="1"/>
        <i x="383" s="1"/>
        <i x="84" s="1"/>
        <i x="157" s="1"/>
        <i x="497" s="1"/>
        <i x="105" s="1"/>
        <i x="196" s="1"/>
        <i x="85" s="1"/>
        <i x="248" s="1"/>
        <i x="79" s="1"/>
        <i x="249" s="1"/>
        <i x="267" s="1"/>
        <i x="150" s="1"/>
        <i x="315" s="1"/>
        <i x="77" s="1"/>
        <i x="482" s="1"/>
        <i x="380" s="1"/>
        <i x="462" s="1"/>
        <i x="127" s="1"/>
        <i x="237" s="1"/>
        <i x="349" s="1"/>
        <i x="183" s="1"/>
        <i x="333" s="1"/>
        <i x="82" s="1"/>
        <i x="407" s="1"/>
        <i x="327" s="1"/>
        <i x="12" s="1"/>
        <i x="290" s="1"/>
        <i x="405" s="1"/>
        <i x="323" s="1"/>
        <i x="154" s="1"/>
        <i x="148" s="1"/>
        <i x="233" s="1"/>
        <i x="397" s="1"/>
        <i x="408" s="1"/>
        <i x="227" s="1"/>
        <i x="441" s="1"/>
        <i x="270" s="1"/>
        <i x="494" s="1"/>
        <i x="291" s="1"/>
        <i x="213" s="1"/>
        <i x="243" s="1"/>
        <i x="69" s="1"/>
        <i x="219" s="1"/>
        <i x="113" s="1"/>
        <i x="312" s="1"/>
        <i x="208" s="1"/>
        <i x="211" s="1"/>
        <i x="313" s="1"/>
        <i x="430" s="1"/>
        <i x="337" s="1"/>
        <i x="265" s="1"/>
        <i x="460" s="1"/>
        <i x="292" s="1"/>
        <i x="433" s="1"/>
        <i x="33" s="1"/>
        <i x="21" s="1"/>
        <i x="3" s="1"/>
        <i x="165" s="1"/>
        <i x="309" s="1"/>
        <i x="445" s="1"/>
        <i x="155" s="1"/>
        <i x="277" s="1"/>
        <i x="272" s="1"/>
        <i x="108" s="1"/>
        <i x="429" s="1"/>
        <i x="348" s="1"/>
        <i x="464" s="1"/>
        <i x="114" s="1"/>
        <i x="241" s="1"/>
        <i x="385" s="1"/>
        <i x="242" s="1"/>
        <i x="351" s="1"/>
        <i x="257" s="1"/>
        <i x="285" s="1"/>
        <i x="479" s="1"/>
        <i x="143" s="1"/>
        <i x="297" s="1"/>
        <i x="369" s="1"/>
        <i x="382" s="1"/>
        <i x="202" s="1"/>
        <i x="374" s="1"/>
        <i x="25" s="1"/>
        <i x="72" s="1"/>
        <i x="493" s="1"/>
        <i x="88" s="1"/>
        <i x="247" s="1"/>
        <i x="182" s="1"/>
        <i x="276" s="1"/>
        <i x="322" s="1"/>
        <i x="67" s="1"/>
        <i x="120" s="1"/>
        <i x="306" s="1"/>
        <i x="418" s="1"/>
        <i x="440" s="1"/>
        <i x="15" s="1"/>
        <i x="214" s="1"/>
        <i x="92" s="1"/>
        <i x="368" s="1"/>
        <i x="279" s="1"/>
        <i x="200" s="1"/>
        <i x="345" s="1"/>
        <i x="176" s="1"/>
        <i x="278" s="1"/>
        <i x="245" s="1"/>
        <i x="76" s="1"/>
        <i x="303" s="1"/>
        <i x="206" s="1"/>
        <i x="61" s="1"/>
        <i x="465" s="1"/>
        <i x="480" s="1"/>
        <i x="496" s="1"/>
        <i x="162" s="1"/>
        <i x="153" s="1"/>
        <i x="252" s="1"/>
        <i x="340" s="1"/>
        <i x="35" s="1"/>
        <i x="470" s="1"/>
        <i x="48" s="1"/>
        <i x="361" s="1"/>
        <i x="239" s="1"/>
        <i x="488" s="1"/>
        <i x="372" s="1"/>
        <i x="401" s="1"/>
        <i x="453" s="1"/>
        <i x="274" s="1"/>
        <i x="469" s="1"/>
        <i x="266" s="1"/>
        <i x="20" s="1"/>
        <i x="91" s="1"/>
        <i x="178" s="1"/>
        <i x="86" s="1"/>
        <i x="188" s="1"/>
        <i x="6" s="1"/>
        <i x="81" s="1"/>
        <i x="238" s="1"/>
        <i x="281" s="1"/>
        <i x="314" s="1"/>
        <i x="66" s="1"/>
        <i x="325" s="1"/>
        <i x="236" s="1"/>
        <i x="438" s="1"/>
        <i x="413" s="1"/>
        <i x="302" s="1"/>
        <i x="246" s="1"/>
        <i x="486" s="1"/>
        <i x="235" s="1"/>
        <i x="417" s="1"/>
        <i x="304" s="1"/>
        <i x="373" s="1"/>
        <i x="31" s="1"/>
        <i x="366" s="1"/>
        <i x="123" s="1"/>
        <i x="495" s="1"/>
        <i x="422" s="1"/>
        <i x="390" s="1"/>
        <i x="490" s="1"/>
        <i x="1" s="1"/>
        <i x="187" s="1"/>
        <i x="452" s="1"/>
        <i x="68" s="1"/>
        <i x="282" s="1"/>
        <i x="353" s="1"/>
        <i x="424" s="1"/>
        <i x="83" s="1"/>
        <i x="142" s="1"/>
        <i x="24" s="1"/>
        <i x="60" s="1"/>
        <i x="256" s="1"/>
        <i x="444" s="1"/>
        <i x="198" s="1"/>
        <i x="22" s="1"/>
        <i x="375" s="1"/>
        <i x="73" s="1"/>
        <i x="404" s="1"/>
        <i x="381" s="1"/>
        <i x="124" s="1"/>
        <i x="269" s="1"/>
        <i x="169" s="1"/>
        <i x="329" s="1"/>
        <i x="320" s="1"/>
        <i x="378" s="1"/>
        <i x="396" s="1"/>
        <i x="388" s="1"/>
        <i x="186" s="1"/>
        <i x="23" s="1"/>
        <i x="280" s="1"/>
        <i x="414" s="1"/>
        <i x="434" s="1"/>
        <i x="52" s="1"/>
        <i x="319" s="1"/>
        <i x="223" s="1"/>
        <i x="298" s="1"/>
        <i x="484" s="1"/>
        <i x="74" s="1"/>
        <i x="231" s="1"/>
        <i x="30" s="1"/>
        <i x="199" s="1"/>
        <i x="447" s="1"/>
        <i x="449" s="1"/>
        <i x="268" s="1"/>
        <i x="163" s="1"/>
        <i x="410" s="1"/>
        <i x="331" s="1"/>
        <i x="250" s="1"/>
        <i x="259" s="1"/>
        <i x="432" s="1"/>
        <i x="137" s="1"/>
        <i x="212" s="1"/>
        <i x="450" s="1"/>
        <i x="179" s="1"/>
        <i x="393" s="1"/>
        <i x="151" s="1"/>
        <i x="476" s="1"/>
        <i x="229" s="1"/>
        <i x="110" s="1"/>
        <i x="175" s="1"/>
        <i x="160" s="1"/>
        <i x="251" s="1"/>
        <i x="475" s="1"/>
        <i x="170" s="1"/>
        <i x="426" s="1"/>
        <i x="463" s="1"/>
        <i x="489" s="1"/>
        <i x="321" s="1"/>
        <i x="62" s="1"/>
        <i x="343" s="1"/>
        <i x="220" s="1"/>
        <i x="307" s="1"/>
        <i x="56" s="1"/>
        <i x="224" s="1"/>
        <i x="308" s="1"/>
        <i x="481" s="1"/>
        <i x="472" s="1"/>
        <i x="360" s="1"/>
        <i x="141" s="1"/>
        <i x="273" s="1"/>
        <i x="310" s="1"/>
        <i x="384" s="1"/>
        <i x="181" s="1"/>
        <i x="19" s="1"/>
        <i x="8" s="1"/>
        <i x="362" s="1"/>
        <i x="473" s="1"/>
        <i x="94" s="1"/>
        <i x="118" s="1"/>
        <i x="358" s="1"/>
        <i x="399" s="1"/>
        <i x="184" s="1"/>
        <i x="16" s="1"/>
        <i x="111" s="1"/>
        <i x="299" s="1"/>
        <i x="11" s="1"/>
        <i x="457" s="1"/>
        <i x="346" s="1"/>
        <i x="45" s="1"/>
        <i x="27" s="1"/>
        <i x="29" s="1"/>
        <i x="386" s="1"/>
        <i x="174" s="1"/>
        <i x="431" s="1"/>
        <i x="365" s="1"/>
        <i x="87" s="1"/>
        <i x="454" s="1"/>
        <i x="4" s="1"/>
        <i x="222" s="1"/>
        <i x="478" s="1"/>
        <i x="379" s="1"/>
        <i x="409" s="1"/>
        <i x="427" s="1"/>
        <i x="104" s="1"/>
        <i x="131" s="1"/>
        <i x="14" s="1"/>
        <i x="42" s="1"/>
        <i x="101" s="1"/>
        <i x="139" s="1"/>
        <i x="461" s="1"/>
        <i x="149" s="1"/>
        <i x="443" s="1"/>
        <i x="26" s="1"/>
        <i x="354" s="1"/>
        <i x="394" s="1"/>
        <i x="96" s="1"/>
        <i x="436" s="1"/>
        <i x="412" s="1"/>
        <i x="403" s="1"/>
        <i x="240" s="1"/>
        <i x="191" s="1"/>
        <i x="38" s="1"/>
        <i x="144" s="1"/>
        <i x="275" s="1"/>
        <i x="389" s="1"/>
        <i x="230" s="1"/>
        <i x="156" s="1"/>
        <i x="332" s="1"/>
        <i x="194" s="1"/>
        <i x="209" s="1"/>
        <i x="65" s="1"/>
        <i x="207" s="1"/>
        <i x="80" s="1"/>
        <i x="215" s="1"/>
        <i x="225" s="1"/>
        <i x="90" s="1"/>
        <i x="387" s="1"/>
        <i x="295" s="1"/>
        <i x="140" s="1"/>
        <i x="161" s="1"/>
        <i x="54" s="1"/>
        <i x="301" s="1"/>
        <i x="376" s="1"/>
        <i x="357" s="1"/>
        <i x="391" s="1"/>
        <i x="5" s="1"/>
        <i x="264" s="1"/>
        <i x="9" s="1"/>
        <i x="253" s="1"/>
        <i x="106" s="1"/>
        <i x="311" s="1"/>
        <i x="49" s="1"/>
        <i x="164" s="1"/>
        <i x="55" s="1"/>
        <i x="448" s="1"/>
        <i x="138" s="1"/>
        <i x="263" s="1"/>
        <i x="262" s="1"/>
        <i x="446" s="1"/>
        <i x="112" s="1"/>
        <i x="335" s="1"/>
        <i x="352" s="1"/>
        <i x="216" s="1"/>
        <i x="185" s="1"/>
        <i x="459" s="1"/>
        <i x="57" s="1"/>
        <i x="171" s="1"/>
        <i x="117" s="1"/>
        <i x="210" s="1"/>
        <i x="341" s="1"/>
        <i x="258" s="1"/>
        <i x="288" s="1"/>
        <i x="498" s="1"/>
        <i x="355" s="1"/>
        <i x="400" s="1"/>
        <i x="126" s="1"/>
        <i x="367" s="1"/>
        <i x="260" s="1"/>
        <i x="190" s="1"/>
        <i x="261" s="1"/>
        <i x="293" s="1"/>
        <i x="103" s="1"/>
        <i x="50" s="1"/>
        <i x="334" s="1"/>
        <i x="39" s="1"/>
        <i x="485" s="1"/>
        <i x="98" s="1"/>
        <i x="284" s="1"/>
        <i x="425" s="1"/>
        <i x="166" s="1"/>
        <i x="255" s="1"/>
        <i x="415" s="1"/>
        <i x="205" s="1"/>
        <i x="64" s="1"/>
        <i x="95" s="1"/>
        <i x="283" s="1"/>
        <i x="317" s="1"/>
        <i x="97" s="1"/>
        <i x="136" s="1"/>
        <i x="109" s="1"/>
        <i x="46" s="1"/>
        <i x="289" s="1"/>
        <i x="455" s="1"/>
        <i x="339" s="1"/>
        <i x="40" s="1"/>
        <i x="78" s="1"/>
        <i x="468" s="1"/>
        <i x="437" s="1"/>
        <i x="192" s="1"/>
        <i x="330" s="1"/>
        <i x="377" s="1"/>
        <i x="130" s="1"/>
        <i x="442" s="1"/>
        <i x="71" s="1"/>
        <i x="467" s="1"/>
        <i x="305" s="1"/>
        <i x="159" s="1"/>
        <i x="180" s="1"/>
        <i x="363" s="1"/>
        <i x="203" s="1"/>
        <i x="100" s="1"/>
        <i x="172" s="1"/>
        <i x="63" s="1"/>
        <i x="116" s="1"/>
        <i x="406" s="1"/>
        <i x="439" s="1"/>
        <i x="89" s="1"/>
        <i x="326" s="1"/>
        <i x="28" s="1"/>
        <i x="491" s="1"/>
        <i x="487" s="1"/>
        <i x="128" s="1"/>
        <i x="133" s="1"/>
        <i x="2" s="1"/>
        <i x="294" s="1"/>
        <i x="411" s="1"/>
        <i x="420" s="1"/>
        <i x="146" s="1"/>
        <i x="173" s="1"/>
        <i x="324" s="1"/>
        <i x="70" s="1"/>
        <i x="177" s="1"/>
        <i x="32" s="1"/>
        <i x="122" s="1"/>
        <i x="451" s="1"/>
        <i x="37" s="1"/>
        <i x="356" s="1"/>
        <i x="99" s="1"/>
        <i x="17" s="1"/>
        <i x="189" s="1"/>
        <i x="392" s="1"/>
        <i x="195" s="1"/>
        <i x="336" s="1"/>
        <i x="296" s="1"/>
        <i x="316" s="1"/>
        <i x="466" s="1"/>
        <i x="364" s="1"/>
        <i x="458" s="1"/>
        <i x="7" s="1"/>
        <i x="132" s="1"/>
        <i x="254" s="1"/>
        <i x="421" s="1"/>
        <i x="456" s="1"/>
        <i x="423" s="1"/>
        <i x="483" s="1"/>
        <i x="134" s="1"/>
        <i x="129" s="1"/>
        <i x="342" s="1"/>
        <i x="197" s="1"/>
        <i x="286" s="1"/>
        <i x="402" s="1"/>
        <i x="435" s="1"/>
        <i x="499" s="1" nd="1"/>
        <i x="500" s="1" nd="1"/>
        <i x="50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MISSOR" xr10:uid="{6ADC3DC2-3AB4-4ECE-B9ED-11A31681A7FE}" sourceName="EMISSOR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49">
        <i x="4" s="1"/>
        <i x="45" s="1"/>
        <i x="6" s="1"/>
        <i x="37" s="1"/>
        <i x="10" s="1"/>
        <i x="11" s="1"/>
        <i x="14" s="1"/>
        <i x="12" s="1"/>
        <i x="17" s="1"/>
        <i x="16" s="1"/>
        <i x="35" s="1"/>
        <i x="38" s="1"/>
        <i x="20" s="1"/>
        <i x="19" s="1"/>
        <i x="33" s="1"/>
        <i x="8" s="1"/>
        <i x="47" s="1"/>
        <i x="27" s="1"/>
        <i x="13" s="1"/>
        <i x="36" s="1"/>
        <i x="25" s="1"/>
        <i x="22" s="1"/>
        <i x="39" s="1"/>
        <i x="42" s="1"/>
        <i x="3" s="1"/>
        <i x="43" s="1"/>
        <i x="32" s="1"/>
        <i x="44" s="1"/>
        <i x="2" s="1"/>
        <i x="18" s="1"/>
        <i x="40" s="1"/>
        <i x="31" s="1"/>
        <i x="21" s="1"/>
        <i x="34" s="1"/>
        <i x="5" s="1"/>
        <i x="0" s="1"/>
        <i x="30" s="1"/>
        <i x="29" s="1"/>
        <i x="9" s="1"/>
        <i x="26" s="1"/>
        <i x="1" s="1"/>
        <i x="46" s="1"/>
        <i x="15" s="1"/>
        <i x="23" s="1"/>
        <i x="48" s="1"/>
        <i x="41" s="1"/>
        <i x="28" s="1"/>
        <i x="24" s="1"/>
        <i x="7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703DF38F-7390-4A66-BCCD-67A9AFBB214C}" sourceName="MÊS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12">
        <i x="0" s="1"/>
        <i x="4" s="1"/>
        <i x="8" s="1"/>
        <i x="11" s="1"/>
        <i x="1" s="1"/>
        <i x="2" s="1"/>
        <i x="6" s="1"/>
        <i x="7" s="1"/>
        <i x="5" s="1"/>
        <i x="3" s="1"/>
        <i x="10" s="1"/>
        <i x="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E561E0BB-26B8-4842-B36D-35172B96D333}" sourceName="AN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PAGAMENTO" xr10:uid="{73A740F4-2600-41E5-A919-3BB7B11FCDFE}" sourceName="TIPO DE PAGAMENT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4">
        <i x="2" s="1"/>
        <i x="0" s="1"/>
        <i x="3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° NOTA FISCAL" xr10:uid="{2D5D8129-CA33-40E2-93BE-D8C3D22472FD}" cache="SegmentaçãodeDados_N°_NOTA_FISCAL" caption="N° NOTA FISCAL" startItem="5" style="SlicerStyleDark1" rowHeight="241300"/>
  <slicer name="EMISSOR" xr10:uid="{1A78676B-C949-413F-A0F1-58FAE6869EBF}" cache="SegmentaçãodeDados_EMISSOR" caption="EMISSOR" startItem="2" style="SlicerStyleDark1" rowHeight="241300"/>
  <slicer name="MÊS" xr10:uid="{025C6728-BAAB-4CAD-B744-4C78E82ADEE0}" cache="SegmentaçãodeDados_MÊS" caption="MÊS" startItem="10" style="SlicerStyleDark1" rowHeight="241300"/>
  <slicer name="ANO" xr10:uid="{1F3D0426-FD05-46A9-8912-448511562F94}" cache="SegmentaçãodeDados_ANO" caption="ANO" style="SlicerStyleDark1" rowHeight="241300"/>
  <slicer name="TIPO DE PAGAMENTO" xr10:uid="{F3597278-8523-4ABF-8DF5-14374635AB7E}" cache="SegmentaçãodeDados_TIPO_DE_PAGAMENTO" caption="TIPO DE PAGAMENTO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EC72B0-6CBF-4018-B36C-48F4CE24A20A}" name="Tabela1" displayName="Tabela1" ref="A1:R501" totalsRowShown="0" headerRowDxfId="55" headerRowBorderDxfId="54" tableBorderDxfId="53" headerRowCellStyle="Moeda">
  <autoFilter ref="A1:R501" xr:uid="{DCEC72B0-6CBF-4018-B36C-48F4CE24A20A}"/>
  <tableColumns count="18">
    <tableColumn id="1" xr3:uid="{5C26D367-8FE3-4C30-B579-30D6DFE7E80E}" name="N° NOTA FISCAL" dataDxfId="52"/>
    <tableColumn id="2" xr3:uid="{FB80C95A-862A-4BD6-9620-197A75368F34}" name="EMISSOR" dataDxfId="51"/>
    <tableColumn id="3" xr3:uid="{94824E59-5B96-4429-86C3-C74E8427E0F2}" name="DATA DE EMISSÃO" dataDxfId="50"/>
    <tableColumn id="4" xr3:uid="{9A2BEEDC-A875-47A1-AF90-152A108C5F74}" name="MÊS" dataDxfId="49">
      <calculatedColumnFormula>MONTH(C2)</calculatedColumnFormula>
    </tableColumn>
    <tableColumn id="5" xr3:uid="{C3774E2E-2507-4B14-871F-197AF8AEB049}" name="ANO" dataDxfId="48">
      <calculatedColumnFormula>YEAR(C2)</calculatedColumnFormula>
    </tableColumn>
    <tableColumn id="6" xr3:uid="{EF7BDE69-3CD9-4E5E-99BC-3B5B44F9FA25}" name="CNPJ" dataDxfId="47"/>
    <tableColumn id="7" xr3:uid="{C3E29913-5B9D-4654-87D4-B1255D474CA3}" name="NATUREZA DA OPERAÇÃO" dataDxfId="46"/>
    <tableColumn id="8" xr3:uid="{E0655437-347B-40FD-B8D2-F9A48BBC847D}" name="CENTRO DE CUSTO" dataDxfId="45"/>
    <tableColumn id="9" xr3:uid="{B70B01BF-E980-412B-A4B9-182603AC8F03}" name="R$ TOTAL" dataDxfId="44"/>
    <tableColumn id="10" xr3:uid="{457D5F76-D747-4EBC-BFBF-3A7FA6694F64}" name="TIPO DE PAGAMENTO" dataDxfId="43"/>
    <tableColumn id="11" xr3:uid="{D0FF9118-EB42-4CE7-90CF-CDF38F25F0E5}" name="1ª Parcela" dataDxfId="42"/>
    <tableColumn id="12" xr3:uid="{AF9B6F5C-E88A-4D96-9CA7-6EDBAC1AA23F}" name="R$ 1ª Parcela" dataDxfId="41"/>
    <tableColumn id="13" xr3:uid="{9DEE0B0D-FC21-432F-B787-260FC4D52B54}" name="2ª Parcela" dataDxfId="40"/>
    <tableColumn id="14" xr3:uid="{22AE1C65-9915-4160-8388-AE4D7BD9A91F}" name="R$ 2ª Parcela" dataDxfId="39"/>
    <tableColumn id="15" xr3:uid="{4ECC7359-7F47-4437-8004-F64D7D6CC884}" name="3ª Parcela" dataDxfId="38"/>
    <tableColumn id="16" xr3:uid="{D6E32B3D-55A4-42CC-9B23-7960C77D7F6A}" name="R$ 3ª Parcela" dataDxfId="37"/>
    <tableColumn id="17" xr3:uid="{199962A9-EB10-43B6-A275-29CE8DA15240}" name="4ª Parcela" dataDxfId="36"/>
    <tableColumn id="18" xr3:uid="{57D30631-5AC0-4986-964D-D3C23E1D907A}" name="R$ 4ª Parcela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E2B0FE-6915-45DC-B037-5F7601322DAA}" name="Table2" displayName="Table2" ref="C6:G10" totalsRowShown="0">
  <autoFilter ref="C6:G10" xr:uid="{2FE2B0FE-6915-45DC-B037-5F7601322DAA}"/>
  <tableColumns count="5">
    <tableColumn id="5" xr3:uid="{133E29C5-EACD-4EF4-85C7-EC4843AD2CDA}" name="TIPO DE PAGAMENTO"/>
    <tableColumn id="6" xr3:uid="{885A0BC3-B6FB-41B8-AC1B-822F2A122571}" name="PRIMEIRO PAG"/>
    <tableColumn id="7" xr3:uid="{2C4CDB48-FB6C-4F90-91E0-B7AFD2B0E453}" name="SEG PAG"/>
    <tableColumn id="8" xr3:uid="{B84DCEF5-DB1C-4839-9AD8-BBE7A9FF8901}" name="TER PAG"/>
    <tableColumn id="9" xr3:uid="{5709F419-0365-4FE0-B02D-A753CE66C261}" name="QUAR PA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795771-F289-47F0-BC12-10EAFAA56E4E}" name="Tabela19" displayName="Tabela19" ref="A1:R501" totalsRowShown="0" headerRowDxfId="32" headerRowBorderDxfId="31" tableBorderDxfId="30" headerRowCellStyle="Moeda">
  <autoFilter ref="A1:R501" xr:uid="{DCEC72B0-6CBF-4018-B36C-48F4CE24A20A}"/>
  <tableColumns count="18">
    <tableColumn id="1" xr3:uid="{2CF0892E-4A12-4AFC-A71A-46ECFE2607BE}" name="N° NOTA FISCAL" dataDxfId="29"/>
    <tableColumn id="2" xr3:uid="{A75DA118-49B7-4482-944E-F989CDC10371}" name="EMISSOR" dataDxfId="28"/>
    <tableColumn id="3" xr3:uid="{E87D807A-40CD-4CA8-A29F-25A701076E97}" name="DATA DE EMISSÃO" dataDxfId="27"/>
    <tableColumn id="4" xr3:uid="{71DAA785-D331-4256-B500-DB57A4C1656F}" name="MÊS" dataDxfId="26">
      <calculatedColumnFormula>MONTH(C2)</calculatedColumnFormula>
    </tableColumn>
    <tableColumn id="5" xr3:uid="{BF6C8CB3-8ED0-47AE-B06E-9D2F188AF14F}" name="ANO" dataDxfId="25">
      <calculatedColumnFormula>YEAR(C2)</calculatedColumnFormula>
    </tableColumn>
    <tableColumn id="6" xr3:uid="{2AF370BA-54BC-4983-958D-B05FE0D8F368}" name="CNPJ" dataDxfId="24"/>
    <tableColumn id="7" xr3:uid="{8AC50CA9-7F25-4DAC-B4B7-9B90B0AF0024}" name="NATUREZA DA OPERAÇÃO" dataDxfId="23"/>
    <tableColumn id="8" xr3:uid="{48E14441-5239-4D31-8A6A-31C2B2B777E9}" name="CENTRO DE CUSTO" dataDxfId="22"/>
    <tableColumn id="9" xr3:uid="{613E719A-74AE-4F4A-89EE-B664626BC288}" name="R$ TOTAL" dataDxfId="21"/>
    <tableColumn id="10" xr3:uid="{F80958D3-F09A-46E0-9FBD-05B7F08A12D2}" name="TIPO DE PAGAMENTO" dataDxfId="20"/>
    <tableColumn id="11" xr3:uid="{91BD806F-5A89-46E1-B6DD-604875280F2F}" name="1ª Parcela" dataDxfId="19"/>
    <tableColumn id="12" xr3:uid="{358BF96B-93AE-4E37-8FAF-4F5AA05E87B0}" name="R$ 1ª Parcela" dataDxfId="18"/>
    <tableColumn id="13" xr3:uid="{353C6B90-D669-440F-80F2-38C59F7F34CE}" name="2ª Parcela" dataDxfId="17"/>
    <tableColumn id="14" xr3:uid="{9CC31163-9271-4A06-9C7C-778C2E5E45E4}" name="R$ 2ª Parcela" dataDxfId="16"/>
    <tableColumn id="15" xr3:uid="{28BD5109-53CC-447C-B071-57F73D07E1A9}" name="3ª Parcela" dataDxfId="15"/>
    <tableColumn id="16" xr3:uid="{3AE62D66-838B-4820-AD1B-9DB3AAC9BF78}" name="R$ 3ª Parcela" dataDxfId="14"/>
    <tableColumn id="17" xr3:uid="{EE743B7A-6593-42B5-95D0-9FE28435C167}" name="4ª Parcela" dataDxfId="13"/>
    <tableColumn id="18" xr3:uid="{0739F8FE-E641-4B10-9464-C020AEB9449A}" name="R$ 4ª Parcela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4C1-6E68-4939-BDEF-8B1C21DF77AD}">
  <sheetPr codeName="Planilha2"/>
  <dimension ref="Q5:Q6"/>
  <sheetViews>
    <sheetView tabSelected="1" topLeftCell="A4" workbookViewId="0">
      <selection activeCell="I81" sqref="I81"/>
    </sheetView>
  </sheetViews>
  <sheetFormatPr defaultRowHeight="14.25"/>
  <cols>
    <col min="1" max="16" width="9" style="42"/>
    <col min="17" max="17" width="22.125" style="42" customWidth="1"/>
    <col min="18" max="16384" width="9" style="42"/>
  </cols>
  <sheetData>
    <row r="5" spans="17:17" ht="18">
      <c r="Q5" s="50" t="s">
        <v>643</v>
      </c>
    </row>
    <row r="6" spans="17:17" ht="19.5">
      <c r="Q6" s="51">
        <f ca="1">NOW()</f>
        <v>45782.529163888888</v>
      </c>
    </row>
  </sheetData>
  <sheetProtection formatCells="0" formatColumns="0" formatRows="0" insertColumns="0" insertRows="0" insertHyperlinks="0" deleteColumns="0" deleteRows="0" select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5592-CC38-45A8-8F3B-88C6ED1E1762}">
  <sheetPr codeName="Planilha5"/>
  <dimension ref="B5:I81"/>
  <sheetViews>
    <sheetView workbookViewId="0">
      <selection activeCell="F30" sqref="F30"/>
    </sheetView>
  </sheetViews>
  <sheetFormatPr defaultRowHeight="14.25"/>
  <cols>
    <col min="1" max="1" width="9" style="42"/>
    <col min="2" max="2" width="23.5" style="42" bestFit="1" customWidth="1"/>
    <col min="3" max="3" width="9" style="42"/>
    <col min="4" max="4" width="25.125" style="42" bestFit="1" customWidth="1"/>
    <col min="5" max="5" width="9" style="42"/>
    <col min="6" max="6" width="25.125" style="42" bestFit="1" customWidth="1"/>
    <col min="7" max="8" width="9" style="42"/>
    <col min="9" max="9" width="21" style="42" bestFit="1" customWidth="1"/>
    <col min="10" max="16384" width="9" style="42"/>
  </cols>
  <sheetData>
    <row r="5" spans="9:9" ht="18">
      <c r="I5" s="49" t="s">
        <v>643</v>
      </c>
    </row>
    <row r="6" spans="9:9" ht="19.5">
      <c r="I6" s="51">
        <f ca="1">NOW()</f>
        <v>45782.529163888888</v>
      </c>
    </row>
    <row r="32" spans="2:6" ht="15">
      <c r="B32" s="45" t="s">
        <v>0</v>
      </c>
      <c r="D32" s="45" t="s">
        <v>2</v>
      </c>
      <c r="F32" s="45" t="s">
        <v>115</v>
      </c>
    </row>
    <row r="33" spans="2:6">
      <c r="B33" s="44" t="s">
        <v>16</v>
      </c>
      <c r="D33" s="44" t="s">
        <v>111</v>
      </c>
      <c r="F33" s="46" t="s">
        <v>126</v>
      </c>
    </row>
    <row r="34" spans="2:6">
      <c r="B34" s="44" t="s">
        <v>33</v>
      </c>
      <c r="D34" s="44" t="s">
        <v>110</v>
      </c>
      <c r="F34" s="47" t="s">
        <v>138</v>
      </c>
    </row>
    <row r="35" spans="2:6">
      <c r="B35" s="44" t="s">
        <v>30</v>
      </c>
      <c r="D35" s="43"/>
      <c r="F35" s="46" t="s">
        <v>137</v>
      </c>
    </row>
    <row r="36" spans="2:6">
      <c r="B36" s="44" t="s">
        <v>29</v>
      </c>
      <c r="F36" s="48" t="s">
        <v>136</v>
      </c>
    </row>
    <row r="37" spans="2:6">
      <c r="B37" s="44" t="s">
        <v>20</v>
      </c>
    </row>
    <row r="38" spans="2:6">
      <c r="B38" s="44" t="s">
        <v>15</v>
      </c>
    </row>
    <row r="39" spans="2:6">
      <c r="B39" s="44" t="s">
        <v>49</v>
      </c>
    </row>
    <row r="40" spans="2:6">
      <c r="B40" s="44" t="s">
        <v>18</v>
      </c>
    </row>
    <row r="41" spans="2:6">
      <c r="B41" s="44" t="s">
        <v>35</v>
      </c>
    </row>
    <row r="42" spans="2:6">
      <c r="B42" s="44" t="s">
        <v>44</v>
      </c>
    </row>
    <row r="43" spans="2:6">
      <c r="B43" s="44" t="s">
        <v>23</v>
      </c>
    </row>
    <row r="44" spans="2:6">
      <c r="B44" s="44" t="s">
        <v>53</v>
      </c>
    </row>
    <row r="45" spans="2:6">
      <c r="B45" s="44" t="s">
        <v>40</v>
      </c>
    </row>
    <row r="46" spans="2:6">
      <c r="B46" s="44" t="s">
        <v>31</v>
      </c>
    </row>
    <row r="47" spans="2:6">
      <c r="B47" s="44" t="s">
        <v>47</v>
      </c>
    </row>
    <row r="48" spans="2:6">
      <c r="B48" s="44" t="s">
        <v>48</v>
      </c>
    </row>
    <row r="49" spans="2:2">
      <c r="B49" s="44" t="s">
        <v>27</v>
      </c>
    </row>
    <row r="50" spans="2:2">
      <c r="B50" s="44" t="s">
        <v>51</v>
      </c>
    </row>
    <row r="51" spans="2:2">
      <c r="B51" s="44" t="s">
        <v>34</v>
      </c>
    </row>
    <row r="52" spans="2:2">
      <c r="B52" s="44" t="s">
        <v>56</v>
      </c>
    </row>
    <row r="53" spans="2:2">
      <c r="B53" s="44" t="s">
        <v>41</v>
      </c>
    </row>
    <row r="54" spans="2:2">
      <c r="B54" s="44" t="s">
        <v>46</v>
      </c>
    </row>
    <row r="55" spans="2:2">
      <c r="B55" s="44" t="s">
        <v>26</v>
      </c>
    </row>
    <row r="56" spans="2:2">
      <c r="B56" s="44" t="s">
        <v>28</v>
      </c>
    </row>
    <row r="57" spans="2:2">
      <c r="B57" s="44" t="s">
        <v>22</v>
      </c>
    </row>
    <row r="58" spans="2:2">
      <c r="B58" s="44" t="s">
        <v>52</v>
      </c>
    </row>
    <row r="59" spans="2:2">
      <c r="B59" s="44" t="s">
        <v>19</v>
      </c>
    </row>
    <row r="60" spans="2:2">
      <c r="B60" s="44" t="s">
        <v>39</v>
      </c>
    </row>
    <row r="61" spans="2:2">
      <c r="B61" s="44" t="s">
        <v>37</v>
      </c>
    </row>
    <row r="62" spans="2:2">
      <c r="B62" s="44" t="s">
        <v>14</v>
      </c>
    </row>
    <row r="63" spans="2:2">
      <c r="B63" s="44" t="s">
        <v>24</v>
      </c>
    </row>
    <row r="64" spans="2:2">
      <c r="B64" s="44" t="s">
        <v>13</v>
      </c>
    </row>
    <row r="65" spans="2:2">
      <c r="B65" s="44" t="s">
        <v>38</v>
      </c>
    </row>
    <row r="66" spans="2:2">
      <c r="B66" s="44" t="s">
        <v>43</v>
      </c>
    </row>
    <row r="67" spans="2:2">
      <c r="B67" s="44" t="s">
        <v>32</v>
      </c>
    </row>
    <row r="68" spans="2:2">
      <c r="B68" s="44" t="s">
        <v>60</v>
      </c>
    </row>
    <row r="69" spans="2:2">
      <c r="B69" s="44" t="s">
        <v>57</v>
      </c>
    </row>
    <row r="70" spans="2:2">
      <c r="B70" s="44" t="s">
        <v>36</v>
      </c>
    </row>
    <row r="71" spans="2:2">
      <c r="B71" s="44" t="s">
        <v>54</v>
      </c>
    </row>
    <row r="72" spans="2:2">
      <c r="B72" s="44" t="s">
        <v>21</v>
      </c>
    </row>
    <row r="73" spans="2:2">
      <c r="B73" s="44" t="s">
        <v>12</v>
      </c>
    </row>
    <row r="74" spans="2:2">
      <c r="B74" s="44" t="s">
        <v>59</v>
      </c>
    </row>
    <row r="75" spans="2:2">
      <c r="B75" s="44" t="s">
        <v>42</v>
      </c>
    </row>
    <row r="76" spans="2:2">
      <c r="B76" s="44" t="s">
        <v>45</v>
      </c>
    </row>
    <row r="77" spans="2:2">
      <c r="B77" s="44" t="s">
        <v>55</v>
      </c>
    </row>
    <row r="78" spans="2:2">
      <c r="B78" s="44" t="s">
        <v>50</v>
      </c>
    </row>
    <row r="79" spans="2:2">
      <c r="B79" s="44" t="s">
        <v>25</v>
      </c>
    </row>
    <row r="80" spans="2:2">
      <c r="B80" s="44" t="s">
        <v>58</v>
      </c>
    </row>
    <row r="81" spans="2:2">
      <c r="B81" s="44" t="s">
        <v>17</v>
      </c>
    </row>
  </sheetData>
  <conditionalFormatting sqref="F33:F36">
    <cfRule type="expression" dxfId="57" priority="1">
      <formula>$A33&lt;&gt;""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E264-A7C3-473E-8880-287416A871CB}">
  <sheetPr codeName="Sheet1"/>
  <dimension ref="A1:R501"/>
  <sheetViews>
    <sheetView showGridLines="0" topLeftCell="B10" zoomScale="87" zoomScaleNormal="87" workbookViewId="0">
      <selection activeCell="F22" sqref="F22"/>
    </sheetView>
  </sheetViews>
  <sheetFormatPr defaultRowHeight="14.25"/>
  <cols>
    <col min="1" max="1" width="14.625" bestFit="1" customWidth="1"/>
    <col min="2" max="2" width="25.125" bestFit="1" customWidth="1"/>
    <col min="3" max="3" width="15.125" style="24" bestFit="1" customWidth="1"/>
    <col min="4" max="4" width="15.125" style="23" customWidth="1"/>
    <col min="5" max="5" width="15.125" style="24" customWidth="1"/>
    <col min="6" max="6" width="17.25" bestFit="1" customWidth="1"/>
    <col min="7" max="7" width="21" bestFit="1" customWidth="1"/>
    <col min="8" max="8" width="17.75" bestFit="1" customWidth="1"/>
    <col min="9" max="9" width="13.875" bestFit="1" customWidth="1"/>
    <col min="10" max="10" width="18.625" bestFit="1" customWidth="1"/>
    <col min="11" max="11" width="9.875" bestFit="1" customWidth="1"/>
    <col min="12" max="12" width="12.375" style="22" customWidth="1"/>
    <col min="13" max="13" width="10.75" customWidth="1"/>
    <col min="14" max="14" width="12.375" style="22" customWidth="1"/>
    <col min="15" max="15" width="12" customWidth="1"/>
    <col min="16" max="16" width="12.375" style="22" customWidth="1"/>
    <col min="17" max="17" width="11.625" customWidth="1"/>
    <col min="18" max="18" width="12.375" style="22" customWidth="1"/>
  </cols>
  <sheetData>
    <row r="1" spans="1:18">
      <c r="A1" s="29" t="s">
        <v>131</v>
      </c>
      <c r="B1" s="30" t="s">
        <v>0</v>
      </c>
      <c r="C1" s="31" t="s">
        <v>1</v>
      </c>
      <c r="D1" s="32" t="s">
        <v>638</v>
      </c>
      <c r="E1" s="31" t="s">
        <v>639</v>
      </c>
      <c r="F1" s="31" t="s">
        <v>139</v>
      </c>
      <c r="G1" s="30" t="s">
        <v>2</v>
      </c>
      <c r="H1" s="30" t="s">
        <v>116</v>
      </c>
      <c r="I1" s="33" t="s">
        <v>3</v>
      </c>
      <c r="J1" s="33" t="s">
        <v>115</v>
      </c>
      <c r="K1" s="31" t="s">
        <v>4</v>
      </c>
      <c r="L1" s="34" t="s">
        <v>5</v>
      </c>
      <c r="M1" s="31" t="s">
        <v>6</v>
      </c>
      <c r="N1" s="34" t="s">
        <v>7</v>
      </c>
      <c r="O1" s="31" t="s">
        <v>8</v>
      </c>
      <c r="P1" s="34" t="s">
        <v>9</v>
      </c>
      <c r="Q1" s="31" t="s">
        <v>10</v>
      </c>
      <c r="R1" s="35" t="s">
        <v>11</v>
      </c>
    </row>
    <row r="2" spans="1:18">
      <c r="A2" s="1">
        <v>111111111111</v>
      </c>
      <c r="B2" s="1" t="s">
        <v>57</v>
      </c>
      <c r="C2" s="3">
        <v>44927</v>
      </c>
      <c r="D2" s="25">
        <v>1</v>
      </c>
      <c r="E2" s="25">
        <v>2023</v>
      </c>
      <c r="F2" s="3" t="s">
        <v>645</v>
      </c>
      <c r="G2" s="2" t="s">
        <v>111</v>
      </c>
      <c r="H2" s="2" t="s">
        <v>646</v>
      </c>
      <c r="I2" s="9">
        <v>5000</v>
      </c>
      <c r="J2" s="10" t="s">
        <v>137</v>
      </c>
      <c r="K2" s="3">
        <v>44928</v>
      </c>
      <c r="L2" s="20">
        <v>1666.6666666666667</v>
      </c>
      <c r="M2" s="3">
        <v>44957</v>
      </c>
      <c r="N2" s="20">
        <v>1666.6666666666667</v>
      </c>
      <c r="O2" s="3">
        <v>44972</v>
      </c>
      <c r="P2" s="20">
        <v>1666.6666666666667</v>
      </c>
      <c r="Q2" s="3"/>
      <c r="R2" s="27"/>
    </row>
    <row r="3" spans="1:18">
      <c r="A3" s="1" t="s">
        <v>140</v>
      </c>
      <c r="B3" s="1" t="s">
        <v>16</v>
      </c>
      <c r="C3" s="3">
        <v>45421</v>
      </c>
      <c r="D3" s="25">
        <f>MONTH(C3)</f>
        <v>5</v>
      </c>
      <c r="E3" s="25">
        <f>YEAR(C3)</f>
        <v>2024</v>
      </c>
      <c r="F3" s="3" t="s">
        <v>65</v>
      </c>
      <c r="G3" s="2" t="s">
        <v>110</v>
      </c>
      <c r="H3" s="2" t="s">
        <v>125</v>
      </c>
      <c r="I3" s="9">
        <v>2457</v>
      </c>
      <c r="J3" s="10" t="s">
        <v>126</v>
      </c>
      <c r="K3" s="3">
        <v>45422</v>
      </c>
      <c r="L3" s="20">
        <v>2457</v>
      </c>
      <c r="M3" s="3"/>
      <c r="N3" s="20"/>
      <c r="O3" s="3"/>
      <c r="P3" s="20"/>
      <c r="Q3" s="3"/>
      <c r="R3" s="27"/>
    </row>
    <row r="4" spans="1:18">
      <c r="A4" s="1" t="s">
        <v>141</v>
      </c>
      <c r="B4" s="1" t="s">
        <v>33</v>
      </c>
      <c r="C4" s="3">
        <v>45465</v>
      </c>
      <c r="D4" s="25">
        <f t="shared" ref="D4:D67" si="0">MONTH(C4)</f>
        <v>6</v>
      </c>
      <c r="E4" s="25">
        <f t="shared" ref="E4:E67" si="1">YEAR(C4)</f>
        <v>2024</v>
      </c>
      <c r="F4" s="3" t="s">
        <v>82</v>
      </c>
      <c r="G4" s="2" t="s">
        <v>111</v>
      </c>
      <c r="H4" s="2" t="s">
        <v>119</v>
      </c>
      <c r="I4" s="9">
        <v>9594</v>
      </c>
      <c r="J4" s="10" t="s">
        <v>138</v>
      </c>
      <c r="K4" s="8">
        <v>45466</v>
      </c>
      <c r="L4" s="21">
        <v>4797</v>
      </c>
      <c r="M4" s="8">
        <v>45495</v>
      </c>
      <c r="N4" s="21">
        <v>4797</v>
      </c>
      <c r="O4" s="8"/>
      <c r="P4" s="21"/>
      <c r="Q4" s="8"/>
      <c r="R4" s="28"/>
    </row>
    <row r="5" spans="1:18">
      <c r="A5" s="1" t="s">
        <v>142</v>
      </c>
      <c r="B5" s="1" t="s">
        <v>30</v>
      </c>
      <c r="C5" s="3">
        <v>45218</v>
      </c>
      <c r="D5" s="25">
        <f t="shared" si="0"/>
        <v>10</v>
      </c>
      <c r="E5" s="25">
        <f t="shared" si="1"/>
        <v>2023</v>
      </c>
      <c r="F5" s="7" t="s">
        <v>79</v>
      </c>
      <c r="G5" s="2" t="s">
        <v>111</v>
      </c>
      <c r="H5" s="2" t="s">
        <v>118</v>
      </c>
      <c r="I5" s="9">
        <v>9086</v>
      </c>
      <c r="J5" s="10" t="s">
        <v>137</v>
      </c>
      <c r="K5" s="8">
        <v>45219</v>
      </c>
      <c r="L5" s="21">
        <v>3028.6666666666665</v>
      </c>
      <c r="M5" s="8">
        <v>45248</v>
      </c>
      <c r="N5" s="21">
        <v>3028.6666666666665</v>
      </c>
      <c r="O5" s="8">
        <v>45263</v>
      </c>
      <c r="P5" s="21">
        <v>3028.6666666666665</v>
      </c>
      <c r="Q5" s="8"/>
      <c r="R5" s="28"/>
    </row>
    <row r="6" spans="1:18">
      <c r="A6" s="1" t="s">
        <v>143</v>
      </c>
      <c r="B6" s="1" t="s">
        <v>29</v>
      </c>
      <c r="C6" s="3">
        <v>45068</v>
      </c>
      <c r="D6" s="25">
        <f t="shared" si="0"/>
        <v>5</v>
      </c>
      <c r="E6" s="25">
        <f t="shared" si="1"/>
        <v>2023</v>
      </c>
      <c r="F6" s="7" t="s">
        <v>78</v>
      </c>
      <c r="G6" s="2" t="s">
        <v>111</v>
      </c>
      <c r="H6" s="2" t="s">
        <v>121</v>
      </c>
      <c r="I6" s="9">
        <v>9199</v>
      </c>
      <c r="J6" s="10" t="s">
        <v>137</v>
      </c>
      <c r="K6" s="8">
        <v>45069</v>
      </c>
      <c r="L6" s="21">
        <v>3066.3333333333335</v>
      </c>
      <c r="M6" s="8">
        <v>45098</v>
      </c>
      <c r="N6" s="21">
        <v>3066.3333333333335</v>
      </c>
      <c r="O6" s="8">
        <v>45113</v>
      </c>
      <c r="P6" s="21">
        <v>3066.3333333333335</v>
      </c>
      <c r="Q6" s="8"/>
      <c r="R6" s="28"/>
    </row>
    <row r="7" spans="1:18">
      <c r="A7" s="1" t="s">
        <v>144</v>
      </c>
      <c r="B7" s="1" t="s">
        <v>20</v>
      </c>
      <c r="C7" s="3">
        <v>45346</v>
      </c>
      <c r="D7" s="25">
        <f t="shared" si="0"/>
        <v>2</v>
      </c>
      <c r="E7" s="25">
        <f t="shared" si="1"/>
        <v>2024</v>
      </c>
      <c r="F7" s="7" t="s">
        <v>69</v>
      </c>
      <c r="G7" s="2" t="s">
        <v>111</v>
      </c>
      <c r="H7" s="2" t="s">
        <v>117</v>
      </c>
      <c r="I7" s="9">
        <v>8090</v>
      </c>
      <c r="J7" s="10" t="s">
        <v>136</v>
      </c>
      <c r="K7" s="8">
        <v>45347</v>
      </c>
      <c r="L7" s="21">
        <v>2022.5</v>
      </c>
      <c r="M7" s="8">
        <v>45376</v>
      </c>
      <c r="N7" s="21">
        <v>2022.5</v>
      </c>
      <c r="O7" s="8">
        <v>45391</v>
      </c>
      <c r="P7" s="21">
        <v>2022.5</v>
      </c>
      <c r="Q7" s="8">
        <v>45406</v>
      </c>
      <c r="R7" s="28">
        <v>2022.5</v>
      </c>
    </row>
    <row r="8" spans="1:18">
      <c r="A8" s="1" t="s">
        <v>145</v>
      </c>
      <c r="B8" s="1" t="s">
        <v>15</v>
      </c>
      <c r="C8" s="3">
        <v>45170</v>
      </c>
      <c r="D8" s="25">
        <f t="shared" si="0"/>
        <v>9</v>
      </c>
      <c r="E8" s="25">
        <f t="shared" si="1"/>
        <v>2023</v>
      </c>
      <c r="F8" s="7" t="s">
        <v>64</v>
      </c>
      <c r="G8" s="2" t="s">
        <v>112</v>
      </c>
      <c r="H8" s="2" t="s">
        <v>123</v>
      </c>
      <c r="I8" s="9">
        <v>1396</v>
      </c>
      <c r="J8" s="10" t="s">
        <v>126</v>
      </c>
      <c r="K8" s="8">
        <v>45171</v>
      </c>
      <c r="L8" s="21">
        <v>1396</v>
      </c>
      <c r="M8" s="8"/>
      <c r="N8" s="21"/>
      <c r="O8" s="8"/>
      <c r="P8" s="21"/>
      <c r="Q8" s="8"/>
      <c r="R8" s="28"/>
    </row>
    <row r="9" spans="1:18">
      <c r="A9" s="1" t="s">
        <v>146</v>
      </c>
      <c r="B9" s="1" t="s">
        <v>16</v>
      </c>
      <c r="C9" s="3">
        <v>45444</v>
      </c>
      <c r="D9" s="25">
        <f t="shared" si="0"/>
        <v>6</v>
      </c>
      <c r="E9" s="25">
        <f t="shared" si="1"/>
        <v>2024</v>
      </c>
      <c r="F9" s="7" t="s">
        <v>65</v>
      </c>
      <c r="G9" s="2" t="s">
        <v>110</v>
      </c>
      <c r="H9" s="2" t="s">
        <v>125</v>
      </c>
      <c r="I9" s="9">
        <v>6710</v>
      </c>
      <c r="J9" s="10" t="s">
        <v>136</v>
      </c>
      <c r="K9" s="8">
        <v>45445</v>
      </c>
      <c r="L9" s="21">
        <v>1677.5</v>
      </c>
      <c r="M9" s="8">
        <v>45474</v>
      </c>
      <c r="N9" s="21">
        <v>1677.5</v>
      </c>
      <c r="O9" s="8">
        <v>45489</v>
      </c>
      <c r="P9" s="21">
        <v>1677.5</v>
      </c>
      <c r="Q9" s="8">
        <v>45504</v>
      </c>
      <c r="R9" s="28">
        <v>1677.5</v>
      </c>
    </row>
    <row r="10" spans="1:18">
      <c r="A10" s="1" t="s">
        <v>147</v>
      </c>
      <c r="B10" s="1" t="s">
        <v>49</v>
      </c>
      <c r="C10" s="3">
        <v>45215</v>
      </c>
      <c r="D10" s="25">
        <f t="shared" si="0"/>
        <v>10</v>
      </c>
      <c r="E10" s="25">
        <f t="shared" si="1"/>
        <v>2023</v>
      </c>
      <c r="F10" s="7" t="s">
        <v>98</v>
      </c>
      <c r="G10" s="2" t="s">
        <v>110</v>
      </c>
      <c r="H10" s="2" t="s">
        <v>125</v>
      </c>
      <c r="I10" s="9">
        <v>2984</v>
      </c>
      <c r="J10" s="10" t="s">
        <v>136</v>
      </c>
      <c r="K10" s="8">
        <v>45216</v>
      </c>
      <c r="L10" s="21">
        <v>746</v>
      </c>
      <c r="M10" s="8">
        <v>45245</v>
      </c>
      <c r="N10" s="21">
        <v>746</v>
      </c>
      <c r="O10" s="8">
        <v>45260</v>
      </c>
      <c r="P10" s="21">
        <v>746</v>
      </c>
      <c r="Q10" s="8">
        <v>45275</v>
      </c>
      <c r="R10" s="28">
        <v>746</v>
      </c>
    </row>
    <row r="11" spans="1:18">
      <c r="A11" s="1" t="s">
        <v>148</v>
      </c>
      <c r="B11" s="1" t="s">
        <v>18</v>
      </c>
      <c r="C11" s="3">
        <v>45180</v>
      </c>
      <c r="D11" s="25">
        <f t="shared" si="0"/>
        <v>9</v>
      </c>
      <c r="E11" s="25">
        <f t="shared" si="1"/>
        <v>2023</v>
      </c>
      <c r="F11" s="7" t="s">
        <v>67</v>
      </c>
      <c r="G11" s="2" t="s">
        <v>111</v>
      </c>
      <c r="H11" s="2" t="s">
        <v>121</v>
      </c>
      <c r="I11" s="9">
        <v>5644</v>
      </c>
      <c r="J11" s="10" t="s">
        <v>138</v>
      </c>
      <c r="K11" s="8">
        <v>45181</v>
      </c>
      <c r="L11" s="21">
        <v>2822</v>
      </c>
      <c r="M11" s="8">
        <v>45210</v>
      </c>
      <c r="N11" s="21">
        <v>2822</v>
      </c>
      <c r="O11" s="8"/>
      <c r="P11" s="21"/>
      <c r="Q11" s="8"/>
      <c r="R11" s="28"/>
    </row>
    <row r="12" spans="1:18">
      <c r="A12" s="1" t="s">
        <v>149</v>
      </c>
      <c r="B12" s="1" t="s">
        <v>18</v>
      </c>
      <c r="C12" s="3">
        <v>45128</v>
      </c>
      <c r="D12" s="25">
        <f t="shared" si="0"/>
        <v>7</v>
      </c>
      <c r="E12" s="25">
        <f t="shared" si="1"/>
        <v>2023</v>
      </c>
      <c r="F12" s="7" t="s">
        <v>67</v>
      </c>
      <c r="G12" s="2" t="s">
        <v>111</v>
      </c>
      <c r="H12" s="2" t="s">
        <v>121</v>
      </c>
      <c r="I12" s="9">
        <v>5862</v>
      </c>
      <c r="J12" s="10" t="s">
        <v>136</v>
      </c>
      <c r="K12" s="8">
        <v>45129</v>
      </c>
      <c r="L12" s="21">
        <v>1465.5</v>
      </c>
      <c r="M12" s="8">
        <v>45158</v>
      </c>
      <c r="N12" s="21">
        <v>1465.5</v>
      </c>
      <c r="O12" s="8">
        <v>45173</v>
      </c>
      <c r="P12" s="21">
        <v>1465.5</v>
      </c>
      <c r="Q12" s="8">
        <v>45188</v>
      </c>
      <c r="R12" s="28">
        <v>1465.5</v>
      </c>
    </row>
    <row r="13" spans="1:18">
      <c r="A13" s="1" t="s">
        <v>150</v>
      </c>
      <c r="B13" s="1" t="s">
        <v>18</v>
      </c>
      <c r="C13" s="3">
        <v>45343</v>
      </c>
      <c r="D13" s="25">
        <f t="shared" si="0"/>
        <v>2</v>
      </c>
      <c r="E13" s="25">
        <f t="shared" si="1"/>
        <v>2024</v>
      </c>
      <c r="F13" s="7" t="s">
        <v>67</v>
      </c>
      <c r="G13" s="2" t="s">
        <v>111</v>
      </c>
      <c r="H13" s="2" t="s">
        <v>121</v>
      </c>
      <c r="I13" s="9">
        <v>762</v>
      </c>
      <c r="J13" s="10" t="s">
        <v>136</v>
      </c>
      <c r="K13" s="8">
        <v>45344</v>
      </c>
      <c r="L13" s="21">
        <v>190.5</v>
      </c>
      <c r="M13" s="8">
        <v>45373</v>
      </c>
      <c r="N13" s="21">
        <v>190.5</v>
      </c>
      <c r="O13" s="8">
        <v>45388</v>
      </c>
      <c r="P13" s="21">
        <v>190.5</v>
      </c>
      <c r="Q13" s="8">
        <v>45403</v>
      </c>
      <c r="R13" s="28">
        <v>190.5</v>
      </c>
    </row>
    <row r="14" spans="1:18">
      <c r="A14" s="1" t="s">
        <v>151</v>
      </c>
      <c r="B14" s="1" t="s">
        <v>35</v>
      </c>
      <c r="C14" s="3">
        <v>45149</v>
      </c>
      <c r="D14" s="25">
        <f t="shared" si="0"/>
        <v>8</v>
      </c>
      <c r="E14" s="25">
        <f t="shared" si="1"/>
        <v>2023</v>
      </c>
      <c r="F14" s="7" t="s">
        <v>84</v>
      </c>
      <c r="G14" s="2" t="s">
        <v>112</v>
      </c>
      <c r="H14" s="2" t="s">
        <v>122</v>
      </c>
      <c r="I14" s="9">
        <v>626</v>
      </c>
      <c r="J14" s="10" t="s">
        <v>126</v>
      </c>
      <c r="K14" s="8">
        <v>45150</v>
      </c>
      <c r="L14" s="21">
        <v>626</v>
      </c>
      <c r="M14" s="8"/>
      <c r="N14" s="21"/>
      <c r="O14" s="8"/>
      <c r="P14" s="21"/>
      <c r="Q14" s="8"/>
      <c r="R14" s="28"/>
    </row>
    <row r="15" spans="1:18">
      <c r="A15" s="1" t="s">
        <v>152</v>
      </c>
      <c r="B15" s="1" t="s">
        <v>18</v>
      </c>
      <c r="C15" s="3">
        <v>45217</v>
      </c>
      <c r="D15" s="25">
        <f t="shared" si="0"/>
        <v>10</v>
      </c>
      <c r="E15" s="25">
        <f t="shared" si="1"/>
        <v>2023</v>
      </c>
      <c r="F15" s="7" t="s">
        <v>67</v>
      </c>
      <c r="G15" s="2" t="s">
        <v>111</v>
      </c>
      <c r="H15" s="2" t="s">
        <v>121</v>
      </c>
      <c r="I15" s="9">
        <v>5530</v>
      </c>
      <c r="J15" s="10" t="s">
        <v>136</v>
      </c>
      <c r="K15" s="8">
        <v>45218</v>
      </c>
      <c r="L15" s="21">
        <v>1382.5</v>
      </c>
      <c r="M15" s="8">
        <v>45247</v>
      </c>
      <c r="N15" s="21">
        <v>1382.5</v>
      </c>
      <c r="O15" s="8">
        <v>45262</v>
      </c>
      <c r="P15" s="21">
        <v>1382.5</v>
      </c>
      <c r="Q15" s="8">
        <v>45277</v>
      </c>
      <c r="R15" s="28">
        <v>1382.5</v>
      </c>
    </row>
    <row r="16" spans="1:18">
      <c r="A16" s="1" t="s">
        <v>153</v>
      </c>
      <c r="B16" s="1" t="s">
        <v>44</v>
      </c>
      <c r="C16" s="3">
        <v>45101</v>
      </c>
      <c r="D16" s="25">
        <f t="shared" si="0"/>
        <v>6</v>
      </c>
      <c r="E16" s="25">
        <f t="shared" si="1"/>
        <v>2023</v>
      </c>
      <c r="F16" s="7" t="s">
        <v>93</v>
      </c>
      <c r="G16" s="2" t="s">
        <v>111</v>
      </c>
      <c r="H16" s="2" t="s">
        <v>119</v>
      </c>
      <c r="I16" s="9">
        <v>3652</v>
      </c>
      <c r="J16" s="10" t="s">
        <v>136</v>
      </c>
      <c r="K16" s="8">
        <v>45102</v>
      </c>
      <c r="L16" s="21">
        <v>913</v>
      </c>
      <c r="M16" s="8">
        <v>45131</v>
      </c>
      <c r="N16" s="21">
        <v>913</v>
      </c>
      <c r="O16" s="8">
        <v>45146</v>
      </c>
      <c r="P16" s="21">
        <v>913</v>
      </c>
      <c r="Q16" s="8">
        <v>45161</v>
      </c>
      <c r="R16" s="28">
        <v>913</v>
      </c>
    </row>
    <row r="17" spans="1:18">
      <c r="A17" s="1" t="s">
        <v>154</v>
      </c>
      <c r="B17" s="1" t="s">
        <v>23</v>
      </c>
      <c r="C17" s="3">
        <v>45376</v>
      </c>
      <c r="D17" s="25">
        <f t="shared" si="0"/>
        <v>3</v>
      </c>
      <c r="E17" s="25">
        <f t="shared" si="1"/>
        <v>2024</v>
      </c>
      <c r="F17" s="7" t="s">
        <v>72</v>
      </c>
      <c r="G17" s="2" t="s">
        <v>110</v>
      </c>
      <c r="H17" s="2" t="s">
        <v>113</v>
      </c>
      <c r="I17" s="9">
        <v>8685</v>
      </c>
      <c r="J17" s="10" t="s">
        <v>137</v>
      </c>
      <c r="K17" s="8">
        <v>45377</v>
      </c>
      <c r="L17" s="21">
        <v>2895</v>
      </c>
      <c r="M17" s="8">
        <v>45406</v>
      </c>
      <c r="N17" s="21">
        <v>2895</v>
      </c>
      <c r="O17" s="8">
        <v>45421</v>
      </c>
      <c r="P17" s="21">
        <v>2895</v>
      </c>
      <c r="Q17" s="8"/>
      <c r="R17" s="28"/>
    </row>
    <row r="18" spans="1:18">
      <c r="A18" s="1" t="s">
        <v>155</v>
      </c>
      <c r="B18" s="1" t="s">
        <v>53</v>
      </c>
      <c r="C18" s="3">
        <v>45211</v>
      </c>
      <c r="D18" s="25">
        <f t="shared" si="0"/>
        <v>10</v>
      </c>
      <c r="E18" s="25">
        <f t="shared" si="1"/>
        <v>2023</v>
      </c>
      <c r="F18" s="7" t="s">
        <v>102</v>
      </c>
      <c r="G18" s="2" t="s">
        <v>111</v>
      </c>
      <c r="H18" s="2" t="s">
        <v>117</v>
      </c>
      <c r="I18" s="9">
        <v>8792</v>
      </c>
      <c r="J18" s="10" t="s">
        <v>137</v>
      </c>
      <c r="K18" s="8">
        <v>45212</v>
      </c>
      <c r="L18" s="21">
        <v>2930.6666666666665</v>
      </c>
      <c r="M18" s="8">
        <v>45241</v>
      </c>
      <c r="N18" s="21">
        <v>2930.6666666666665</v>
      </c>
      <c r="O18" s="8">
        <v>45256</v>
      </c>
      <c r="P18" s="21">
        <v>2930.6666666666665</v>
      </c>
      <c r="Q18" s="8"/>
      <c r="R18" s="28"/>
    </row>
    <row r="19" spans="1:18">
      <c r="A19" s="1" t="s">
        <v>156</v>
      </c>
      <c r="B19" s="1" t="s">
        <v>40</v>
      </c>
      <c r="C19" s="3">
        <v>45268</v>
      </c>
      <c r="D19" s="25">
        <f t="shared" si="0"/>
        <v>12</v>
      </c>
      <c r="E19" s="25">
        <f t="shared" si="1"/>
        <v>2023</v>
      </c>
      <c r="F19" s="7" t="s">
        <v>89</v>
      </c>
      <c r="G19" s="2" t="s">
        <v>111</v>
      </c>
      <c r="H19" s="2" t="s">
        <v>121</v>
      </c>
      <c r="I19" s="9">
        <v>9489</v>
      </c>
      <c r="J19" s="10" t="s">
        <v>126</v>
      </c>
      <c r="K19" s="8">
        <v>45269</v>
      </c>
      <c r="L19" s="21">
        <v>9489</v>
      </c>
      <c r="M19" s="8"/>
      <c r="N19" s="21"/>
      <c r="O19" s="8"/>
      <c r="P19" s="21"/>
      <c r="Q19" s="8"/>
      <c r="R19" s="28"/>
    </row>
    <row r="20" spans="1:18">
      <c r="A20" s="1" t="s">
        <v>157</v>
      </c>
      <c r="B20" s="1" t="s">
        <v>31</v>
      </c>
      <c r="C20" s="3">
        <v>45488</v>
      </c>
      <c r="D20" s="25">
        <f t="shared" si="0"/>
        <v>7</v>
      </c>
      <c r="E20" s="25">
        <f t="shared" si="1"/>
        <v>2024</v>
      </c>
      <c r="F20" s="7" t="s">
        <v>80</v>
      </c>
      <c r="G20" s="2" t="s">
        <v>111</v>
      </c>
      <c r="H20" s="2" t="s">
        <v>117</v>
      </c>
      <c r="I20" s="9">
        <v>4460</v>
      </c>
      <c r="J20" s="10" t="s">
        <v>126</v>
      </c>
      <c r="K20" s="8">
        <v>45489</v>
      </c>
      <c r="L20" s="21">
        <v>4460</v>
      </c>
      <c r="M20" s="8"/>
      <c r="N20" s="21"/>
      <c r="O20" s="8"/>
      <c r="P20" s="21"/>
      <c r="Q20" s="8"/>
      <c r="R20" s="28"/>
    </row>
    <row r="21" spans="1:18">
      <c r="A21" s="1" t="s">
        <v>158</v>
      </c>
      <c r="B21" s="1" t="s">
        <v>47</v>
      </c>
      <c r="C21" s="3">
        <v>45212</v>
      </c>
      <c r="D21" s="25">
        <f t="shared" si="0"/>
        <v>10</v>
      </c>
      <c r="E21" s="25">
        <f t="shared" si="1"/>
        <v>2023</v>
      </c>
      <c r="F21" s="7" t="s">
        <v>96</v>
      </c>
      <c r="G21" s="2" t="s">
        <v>111</v>
      </c>
      <c r="H21" s="2" t="s">
        <v>120</v>
      </c>
      <c r="I21" s="9">
        <v>8583</v>
      </c>
      <c r="J21" s="10" t="s">
        <v>136</v>
      </c>
      <c r="K21" s="8">
        <v>45213</v>
      </c>
      <c r="L21" s="21">
        <v>2145.75</v>
      </c>
      <c r="M21" s="8">
        <v>45242</v>
      </c>
      <c r="N21" s="21">
        <v>2145.75</v>
      </c>
      <c r="O21" s="8">
        <v>45257</v>
      </c>
      <c r="P21" s="21">
        <v>2145.75</v>
      </c>
      <c r="Q21" s="8">
        <v>45272</v>
      </c>
      <c r="R21" s="28">
        <v>2145.75</v>
      </c>
    </row>
    <row r="22" spans="1:18">
      <c r="A22" s="1" t="s">
        <v>159</v>
      </c>
      <c r="B22" s="1" t="s">
        <v>48</v>
      </c>
      <c r="C22" s="3">
        <v>45291</v>
      </c>
      <c r="D22" s="25">
        <f t="shared" si="0"/>
        <v>12</v>
      </c>
      <c r="E22" s="25">
        <f t="shared" si="1"/>
        <v>2023</v>
      </c>
      <c r="F22" s="7" t="s">
        <v>97</v>
      </c>
      <c r="G22" s="2" t="s">
        <v>112</v>
      </c>
      <c r="H22" s="2" t="s">
        <v>123</v>
      </c>
      <c r="I22" s="9">
        <v>1637</v>
      </c>
      <c r="J22" s="10" t="s">
        <v>126</v>
      </c>
      <c r="K22" s="8">
        <v>45292</v>
      </c>
      <c r="L22" s="21">
        <v>1637</v>
      </c>
      <c r="M22" s="8"/>
      <c r="N22" s="21"/>
      <c r="O22" s="8"/>
      <c r="P22" s="21"/>
      <c r="Q22" s="8"/>
      <c r="R22" s="28"/>
    </row>
    <row r="23" spans="1:18">
      <c r="A23" s="1" t="s">
        <v>160</v>
      </c>
      <c r="B23" s="1" t="s">
        <v>27</v>
      </c>
      <c r="C23" s="3">
        <v>45169</v>
      </c>
      <c r="D23" s="25">
        <f t="shared" si="0"/>
        <v>8</v>
      </c>
      <c r="E23" s="25">
        <f t="shared" si="1"/>
        <v>2023</v>
      </c>
      <c r="F23" s="7" t="s">
        <v>76</v>
      </c>
      <c r="G23" s="2" t="s">
        <v>110</v>
      </c>
      <c r="H23" s="2" t="s">
        <v>125</v>
      </c>
      <c r="I23" s="9">
        <v>9068</v>
      </c>
      <c r="J23" s="10" t="s">
        <v>137</v>
      </c>
      <c r="K23" s="8">
        <v>45170</v>
      </c>
      <c r="L23" s="21">
        <v>3022.6666666666665</v>
      </c>
      <c r="M23" s="8">
        <v>45199</v>
      </c>
      <c r="N23" s="21">
        <v>3022.6666666666665</v>
      </c>
      <c r="O23" s="8">
        <v>45214</v>
      </c>
      <c r="P23" s="21">
        <v>3022.6666666666665</v>
      </c>
      <c r="Q23" s="8"/>
      <c r="R23" s="28"/>
    </row>
    <row r="24" spans="1:18">
      <c r="A24" s="1" t="s">
        <v>161</v>
      </c>
      <c r="B24" s="1" t="s">
        <v>51</v>
      </c>
      <c r="C24" s="3">
        <v>45210</v>
      </c>
      <c r="D24" s="25">
        <f t="shared" si="0"/>
        <v>10</v>
      </c>
      <c r="E24" s="25">
        <f t="shared" si="1"/>
        <v>2023</v>
      </c>
      <c r="F24" s="7" t="s">
        <v>100</v>
      </c>
      <c r="G24" s="2" t="s">
        <v>111</v>
      </c>
      <c r="H24" s="2" t="s">
        <v>121</v>
      </c>
      <c r="I24" s="9">
        <v>8111</v>
      </c>
      <c r="J24" s="10" t="s">
        <v>126</v>
      </c>
      <c r="K24" s="8">
        <v>45211</v>
      </c>
      <c r="L24" s="21">
        <v>8111</v>
      </c>
      <c r="M24" s="8"/>
      <c r="N24" s="21"/>
      <c r="O24" s="8"/>
      <c r="P24" s="21"/>
      <c r="Q24" s="8"/>
      <c r="R24" s="28"/>
    </row>
    <row r="25" spans="1:18">
      <c r="A25" s="1" t="s">
        <v>162</v>
      </c>
      <c r="B25" s="1" t="s">
        <v>34</v>
      </c>
      <c r="C25" s="3">
        <v>45192</v>
      </c>
      <c r="D25" s="25">
        <f t="shared" si="0"/>
        <v>9</v>
      </c>
      <c r="E25" s="25">
        <f t="shared" si="1"/>
        <v>2023</v>
      </c>
      <c r="F25" s="7" t="s">
        <v>83</v>
      </c>
      <c r="G25" s="2" t="s">
        <v>110</v>
      </c>
      <c r="H25" s="2" t="s">
        <v>113</v>
      </c>
      <c r="I25" s="9">
        <v>3919</v>
      </c>
      <c r="J25" s="10" t="s">
        <v>137</v>
      </c>
      <c r="K25" s="8">
        <v>45193</v>
      </c>
      <c r="L25" s="21">
        <v>1306.3333333333333</v>
      </c>
      <c r="M25" s="8">
        <v>45222</v>
      </c>
      <c r="N25" s="21">
        <v>1306.3333333333333</v>
      </c>
      <c r="O25" s="8">
        <v>45237</v>
      </c>
      <c r="P25" s="21">
        <v>1306.3333333333333</v>
      </c>
      <c r="Q25" s="8"/>
      <c r="R25" s="28"/>
    </row>
    <row r="26" spans="1:18">
      <c r="A26" s="1" t="s">
        <v>163</v>
      </c>
      <c r="B26" s="1" t="s">
        <v>48</v>
      </c>
      <c r="C26" s="3">
        <v>45346</v>
      </c>
      <c r="D26" s="25">
        <f t="shared" si="0"/>
        <v>2</v>
      </c>
      <c r="E26" s="25">
        <f t="shared" si="1"/>
        <v>2024</v>
      </c>
      <c r="F26" s="7" t="s">
        <v>97</v>
      </c>
      <c r="G26" s="2" t="s">
        <v>112</v>
      </c>
      <c r="H26" s="2" t="s">
        <v>123</v>
      </c>
      <c r="I26" s="9">
        <v>1358</v>
      </c>
      <c r="J26" s="10" t="s">
        <v>126</v>
      </c>
      <c r="K26" s="8">
        <v>45347</v>
      </c>
      <c r="L26" s="21">
        <v>1358</v>
      </c>
      <c r="M26" s="8"/>
      <c r="N26" s="21"/>
      <c r="O26" s="8"/>
      <c r="P26" s="21"/>
      <c r="Q26" s="8"/>
      <c r="R26" s="28"/>
    </row>
    <row r="27" spans="1:18">
      <c r="A27" s="1" t="s">
        <v>164</v>
      </c>
      <c r="B27" s="1" t="s">
        <v>16</v>
      </c>
      <c r="C27" s="3">
        <v>45234</v>
      </c>
      <c r="D27" s="25">
        <f t="shared" si="0"/>
        <v>11</v>
      </c>
      <c r="E27" s="25">
        <f t="shared" si="1"/>
        <v>2023</v>
      </c>
      <c r="F27" s="7" t="s">
        <v>65</v>
      </c>
      <c r="G27" s="2" t="s">
        <v>110</v>
      </c>
      <c r="H27" s="2" t="s">
        <v>125</v>
      </c>
      <c r="I27" s="9">
        <v>2013</v>
      </c>
      <c r="J27" s="10" t="s">
        <v>126</v>
      </c>
      <c r="K27" s="8">
        <v>45235</v>
      </c>
      <c r="L27" s="21">
        <v>2013</v>
      </c>
      <c r="M27" s="8"/>
      <c r="N27" s="21"/>
      <c r="O27" s="8"/>
      <c r="P27" s="21"/>
      <c r="Q27" s="8"/>
      <c r="R27" s="28"/>
    </row>
    <row r="28" spans="1:18">
      <c r="A28" s="1" t="s">
        <v>165</v>
      </c>
      <c r="B28" s="1" t="s">
        <v>56</v>
      </c>
      <c r="C28" s="3">
        <v>45298</v>
      </c>
      <c r="D28" s="25">
        <f t="shared" si="0"/>
        <v>1</v>
      </c>
      <c r="E28" s="25">
        <f t="shared" si="1"/>
        <v>2024</v>
      </c>
      <c r="F28" s="7" t="s">
        <v>105</v>
      </c>
      <c r="G28" s="2" t="s">
        <v>110</v>
      </c>
      <c r="H28" s="2" t="s">
        <v>113</v>
      </c>
      <c r="I28" s="9">
        <v>9208</v>
      </c>
      <c r="J28" s="10" t="s">
        <v>138</v>
      </c>
      <c r="K28" s="8">
        <v>45299</v>
      </c>
      <c r="L28" s="21">
        <v>4604</v>
      </c>
      <c r="M28" s="8">
        <v>45328</v>
      </c>
      <c r="N28" s="21">
        <v>4604</v>
      </c>
      <c r="O28" s="8"/>
      <c r="P28" s="21"/>
      <c r="Q28" s="8"/>
      <c r="R28" s="28"/>
    </row>
    <row r="29" spans="1:18">
      <c r="A29" s="1" t="s">
        <v>166</v>
      </c>
      <c r="B29" s="1" t="s">
        <v>41</v>
      </c>
      <c r="C29" s="3">
        <v>45161</v>
      </c>
      <c r="D29" s="25">
        <f t="shared" si="0"/>
        <v>8</v>
      </c>
      <c r="E29" s="25">
        <f t="shared" si="1"/>
        <v>2023</v>
      </c>
      <c r="F29" s="7" t="s">
        <v>90</v>
      </c>
      <c r="G29" s="2" t="s">
        <v>111</v>
      </c>
      <c r="H29" s="2" t="s">
        <v>118</v>
      </c>
      <c r="I29" s="9">
        <v>674</v>
      </c>
      <c r="J29" s="10" t="s">
        <v>137</v>
      </c>
      <c r="K29" s="8">
        <v>45162</v>
      </c>
      <c r="L29" s="21">
        <v>224.66666666666666</v>
      </c>
      <c r="M29" s="8">
        <v>45191</v>
      </c>
      <c r="N29" s="21">
        <v>224.66666666666666</v>
      </c>
      <c r="O29" s="8">
        <v>45206</v>
      </c>
      <c r="P29" s="21">
        <v>224.66666666666666</v>
      </c>
      <c r="Q29" s="8"/>
      <c r="R29" s="28"/>
    </row>
    <row r="30" spans="1:18">
      <c r="A30" s="1" t="s">
        <v>167</v>
      </c>
      <c r="B30" s="1" t="s">
        <v>27</v>
      </c>
      <c r="C30" s="3">
        <v>45482</v>
      </c>
      <c r="D30" s="25">
        <f t="shared" si="0"/>
        <v>7</v>
      </c>
      <c r="E30" s="25">
        <f t="shared" si="1"/>
        <v>2024</v>
      </c>
      <c r="F30" s="7" t="s">
        <v>76</v>
      </c>
      <c r="G30" s="2" t="s">
        <v>110</v>
      </c>
      <c r="H30" s="2" t="s">
        <v>125</v>
      </c>
      <c r="I30" s="9">
        <v>2715</v>
      </c>
      <c r="J30" s="10" t="s">
        <v>137</v>
      </c>
      <c r="K30" s="8">
        <v>45483</v>
      </c>
      <c r="L30" s="21">
        <v>905</v>
      </c>
      <c r="M30" s="8">
        <v>45512</v>
      </c>
      <c r="N30" s="21">
        <v>905</v>
      </c>
      <c r="O30" s="8">
        <v>45527</v>
      </c>
      <c r="P30" s="21">
        <v>905</v>
      </c>
      <c r="Q30" s="8"/>
      <c r="R30" s="28"/>
    </row>
    <row r="31" spans="1:18">
      <c r="A31" s="1" t="s">
        <v>168</v>
      </c>
      <c r="B31" s="1" t="s">
        <v>18</v>
      </c>
      <c r="C31" s="3">
        <v>45320</v>
      </c>
      <c r="D31" s="25">
        <f t="shared" si="0"/>
        <v>1</v>
      </c>
      <c r="E31" s="25">
        <f t="shared" si="1"/>
        <v>2024</v>
      </c>
      <c r="F31" s="7" t="s">
        <v>67</v>
      </c>
      <c r="G31" s="2" t="s">
        <v>111</v>
      </c>
      <c r="H31" s="2" t="s">
        <v>121</v>
      </c>
      <c r="I31" s="9">
        <v>912</v>
      </c>
      <c r="J31" s="10" t="s">
        <v>136</v>
      </c>
      <c r="K31" s="8">
        <v>45321</v>
      </c>
      <c r="L31" s="21">
        <v>228</v>
      </c>
      <c r="M31" s="8">
        <v>45350</v>
      </c>
      <c r="N31" s="21">
        <v>228</v>
      </c>
      <c r="O31" s="8">
        <v>45365</v>
      </c>
      <c r="P31" s="21">
        <v>228</v>
      </c>
      <c r="Q31" s="8">
        <v>45380</v>
      </c>
      <c r="R31" s="28">
        <v>228</v>
      </c>
    </row>
    <row r="32" spans="1:18">
      <c r="A32" s="1" t="s">
        <v>169</v>
      </c>
      <c r="B32" s="1" t="s">
        <v>20</v>
      </c>
      <c r="C32" s="3">
        <v>45245</v>
      </c>
      <c r="D32" s="25">
        <f t="shared" si="0"/>
        <v>11</v>
      </c>
      <c r="E32" s="25">
        <f t="shared" si="1"/>
        <v>2023</v>
      </c>
      <c r="F32" s="7" t="s">
        <v>69</v>
      </c>
      <c r="G32" s="2" t="s">
        <v>111</v>
      </c>
      <c r="H32" s="2" t="s">
        <v>117</v>
      </c>
      <c r="I32" s="9">
        <v>1239</v>
      </c>
      <c r="J32" s="10" t="s">
        <v>136</v>
      </c>
      <c r="K32" s="8">
        <v>45246</v>
      </c>
      <c r="L32" s="21">
        <v>309.75</v>
      </c>
      <c r="M32" s="8">
        <v>45275</v>
      </c>
      <c r="N32" s="21">
        <v>309.75</v>
      </c>
      <c r="O32" s="8">
        <v>45290</v>
      </c>
      <c r="P32" s="21">
        <v>309.75</v>
      </c>
      <c r="Q32" s="8">
        <v>45305</v>
      </c>
      <c r="R32" s="28">
        <v>309.75</v>
      </c>
    </row>
    <row r="33" spans="1:18">
      <c r="A33" s="1" t="s">
        <v>170</v>
      </c>
      <c r="B33" s="1" t="s">
        <v>23</v>
      </c>
      <c r="C33" s="3">
        <v>45318</v>
      </c>
      <c r="D33" s="25">
        <f t="shared" si="0"/>
        <v>1</v>
      </c>
      <c r="E33" s="25">
        <f t="shared" si="1"/>
        <v>2024</v>
      </c>
      <c r="F33" s="7" t="s">
        <v>72</v>
      </c>
      <c r="G33" s="2" t="s">
        <v>110</v>
      </c>
      <c r="H33" s="2" t="s">
        <v>113</v>
      </c>
      <c r="I33" s="9">
        <v>9295</v>
      </c>
      <c r="J33" s="10" t="s">
        <v>126</v>
      </c>
      <c r="K33" s="8">
        <v>45319</v>
      </c>
      <c r="L33" s="21">
        <v>9295</v>
      </c>
      <c r="M33" s="8"/>
      <c r="N33" s="21"/>
      <c r="O33" s="8"/>
      <c r="P33" s="21"/>
      <c r="Q33" s="8"/>
      <c r="R33" s="28"/>
    </row>
    <row r="34" spans="1:18">
      <c r="A34" s="1" t="s">
        <v>171</v>
      </c>
      <c r="B34" s="1" t="s">
        <v>53</v>
      </c>
      <c r="C34" s="3">
        <v>45209</v>
      </c>
      <c r="D34" s="25">
        <f t="shared" si="0"/>
        <v>10</v>
      </c>
      <c r="E34" s="25">
        <f t="shared" si="1"/>
        <v>2023</v>
      </c>
      <c r="F34" s="7" t="s">
        <v>102</v>
      </c>
      <c r="G34" s="2" t="s">
        <v>111</v>
      </c>
      <c r="H34" s="2" t="s">
        <v>117</v>
      </c>
      <c r="I34" s="9">
        <v>3922</v>
      </c>
      <c r="J34" s="10" t="s">
        <v>137</v>
      </c>
      <c r="K34" s="8">
        <v>45210</v>
      </c>
      <c r="L34" s="21">
        <v>1307.3333333333333</v>
      </c>
      <c r="M34" s="8">
        <v>45239</v>
      </c>
      <c r="N34" s="21">
        <v>1307.3333333333333</v>
      </c>
      <c r="O34" s="8">
        <v>45254</v>
      </c>
      <c r="P34" s="21">
        <v>1307.3333333333333</v>
      </c>
      <c r="Q34" s="8"/>
      <c r="R34" s="28"/>
    </row>
    <row r="35" spans="1:18">
      <c r="A35" s="1" t="s">
        <v>172</v>
      </c>
      <c r="B35" s="1" t="s">
        <v>46</v>
      </c>
      <c r="C35" s="3">
        <v>45129</v>
      </c>
      <c r="D35" s="25">
        <f t="shared" si="0"/>
        <v>7</v>
      </c>
      <c r="E35" s="25">
        <f t="shared" si="1"/>
        <v>2023</v>
      </c>
      <c r="F35" s="7" t="s">
        <v>95</v>
      </c>
      <c r="G35" s="2" t="s">
        <v>112</v>
      </c>
      <c r="H35" s="2" t="s">
        <v>122</v>
      </c>
      <c r="I35" s="9">
        <v>6216</v>
      </c>
      <c r="J35" s="10" t="s">
        <v>126</v>
      </c>
      <c r="K35" s="8">
        <v>45130</v>
      </c>
      <c r="L35" s="21">
        <v>6216</v>
      </c>
      <c r="M35" s="8"/>
      <c r="N35" s="21"/>
      <c r="O35" s="8"/>
      <c r="P35" s="21"/>
      <c r="Q35" s="8"/>
      <c r="R35" s="28"/>
    </row>
    <row r="36" spans="1:18">
      <c r="A36" s="1" t="s">
        <v>173</v>
      </c>
      <c r="B36" s="1" t="s">
        <v>31</v>
      </c>
      <c r="C36" s="3">
        <v>45131</v>
      </c>
      <c r="D36" s="25">
        <f t="shared" si="0"/>
        <v>7</v>
      </c>
      <c r="E36" s="25">
        <f t="shared" si="1"/>
        <v>2023</v>
      </c>
      <c r="F36" s="7" t="s">
        <v>80</v>
      </c>
      <c r="G36" s="2" t="s">
        <v>111</v>
      </c>
      <c r="H36" s="2" t="s">
        <v>117</v>
      </c>
      <c r="I36" s="9">
        <v>2210</v>
      </c>
      <c r="J36" s="10" t="s">
        <v>138</v>
      </c>
      <c r="K36" s="8">
        <v>45132</v>
      </c>
      <c r="L36" s="21">
        <v>1105</v>
      </c>
      <c r="M36" s="8">
        <v>45161</v>
      </c>
      <c r="N36" s="21">
        <v>1105</v>
      </c>
      <c r="O36" s="8"/>
      <c r="P36" s="21"/>
      <c r="Q36" s="8"/>
      <c r="R36" s="28"/>
    </row>
    <row r="37" spans="1:18">
      <c r="A37" s="1" t="s">
        <v>174</v>
      </c>
      <c r="B37" s="1" t="s">
        <v>48</v>
      </c>
      <c r="C37" s="3">
        <v>45357</v>
      </c>
      <c r="D37" s="25">
        <f t="shared" si="0"/>
        <v>3</v>
      </c>
      <c r="E37" s="25">
        <f t="shared" si="1"/>
        <v>2024</v>
      </c>
      <c r="F37" s="7" t="s">
        <v>97</v>
      </c>
      <c r="G37" s="2" t="s">
        <v>112</v>
      </c>
      <c r="H37" s="2" t="s">
        <v>123</v>
      </c>
      <c r="I37" s="9">
        <v>9667</v>
      </c>
      <c r="J37" s="10" t="s">
        <v>126</v>
      </c>
      <c r="K37" s="8">
        <v>45358</v>
      </c>
      <c r="L37" s="21">
        <v>9667</v>
      </c>
      <c r="M37" s="8"/>
      <c r="N37" s="21"/>
      <c r="O37" s="8"/>
      <c r="P37" s="21"/>
      <c r="Q37" s="8"/>
      <c r="R37" s="28"/>
    </row>
    <row r="38" spans="1:18">
      <c r="A38" s="1" t="s">
        <v>175</v>
      </c>
      <c r="B38" s="1" t="s">
        <v>15</v>
      </c>
      <c r="C38" s="3">
        <v>45391</v>
      </c>
      <c r="D38" s="25">
        <f t="shared" si="0"/>
        <v>4</v>
      </c>
      <c r="E38" s="25">
        <f t="shared" si="1"/>
        <v>2024</v>
      </c>
      <c r="F38" s="7" t="s">
        <v>64</v>
      </c>
      <c r="G38" s="2" t="s">
        <v>112</v>
      </c>
      <c r="H38" s="2" t="s">
        <v>123</v>
      </c>
      <c r="I38" s="9">
        <v>8317</v>
      </c>
      <c r="J38" s="10" t="s">
        <v>126</v>
      </c>
      <c r="K38" s="8">
        <v>45392</v>
      </c>
      <c r="L38" s="21">
        <v>8317</v>
      </c>
      <c r="M38" s="8"/>
      <c r="N38" s="21"/>
      <c r="O38" s="8"/>
      <c r="P38" s="21"/>
      <c r="Q38" s="8"/>
      <c r="R38" s="28"/>
    </row>
    <row r="39" spans="1:18">
      <c r="A39" s="1" t="s">
        <v>176</v>
      </c>
      <c r="B39" s="1" t="s">
        <v>26</v>
      </c>
      <c r="C39" s="3">
        <v>45201</v>
      </c>
      <c r="D39" s="25">
        <f t="shared" si="0"/>
        <v>10</v>
      </c>
      <c r="E39" s="25">
        <f t="shared" si="1"/>
        <v>2023</v>
      </c>
      <c r="F39" s="7" t="s">
        <v>75</v>
      </c>
      <c r="G39" s="2" t="s">
        <v>112</v>
      </c>
      <c r="H39" s="2" t="s">
        <v>123</v>
      </c>
      <c r="I39" s="9">
        <v>2499</v>
      </c>
      <c r="J39" s="10" t="s">
        <v>126</v>
      </c>
      <c r="K39" s="8">
        <v>45202</v>
      </c>
      <c r="L39" s="21">
        <v>2499</v>
      </c>
      <c r="M39" s="8"/>
      <c r="N39" s="21"/>
      <c r="O39" s="8"/>
      <c r="P39" s="21"/>
      <c r="Q39" s="8"/>
      <c r="R39" s="28"/>
    </row>
    <row r="40" spans="1:18">
      <c r="A40" s="1" t="s">
        <v>177</v>
      </c>
      <c r="B40" s="1" t="s">
        <v>18</v>
      </c>
      <c r="C40" s="3">
        <v>45255</v>
      </c>
      <c r="D40" s="25">
        <f t="shared" si="0"/>
        <v>11</v>
      </c>
      <c r="E40" s="25">
        <f t="shared" si="1"/>
        <v>2023</v>
      </c>
      <c r="F40" s="7" t="s">
        <v>67</v>
      </c>
      <c r="G40" s="2" t="s">
        <v>111</v>
      </c>
      <c r="H40" s="2" t="s">
        <v>121</v>
      </c>
      <c r="I40" s="9">
        <v>2271</v>
      </c>
      <c r="J40" s="10" t="s">
        <v>137</v>
      </c>
      <c r="K40" s="8">
        <v>45256</v>
      </c>
      <c r="L40" s="21">
        <v>757</v>
      </c>
      <c r="M40" s="8">
        <v>45285</v>
      </c>
      <c r="N40" s="21">
        <v>757</v>
      </c>
      <c r="O40" s="8">
        <v>45300</v>
      </c>
      <c r="P40" s="21">
        <v>757</v>
      </c>
      <c r="Q40" s="8"/>
      <c r="R40" s="28"/>
    </row>
    <row r="41" spans="1:18">
      <c r="A41" s="1" t="s">
        <v>178</v>
      </c>
      <c r="B41" s="1" t="s">
        <v>15</v>
      </c>
      <c r="C41" s="3">
        <v>45509</v>
      </c>
      <c r="D41" s="25">
        <f t="shared" si="0"/>
        <v>8</v>
      </c>
      <c r="E41" s="25">
        <f t="shared" si="1"/>
        <v>2024</v>
      </c>
      <c r="F41" s="7" t="s">
        <v>64</v>
      </c>
      <c r="G41" s="2" t="s">
        <v>112</v>
      </c>
      <c r="H41" s="2" t="s">
        <v>123</v>
      </c>
      <c r="I41" s="9">
        <v>3684</v>
      </c>
      <c r="J41" s="10" t="s">
        <v>126</v>
      </c>
      <c r="K41" s="8">
        <v>45510</v>
      </c>
      <c r="L41" s="21">
        <v>3684</v>
      </c>
      <c r="M41" s="8"/>
      <c r="N41" s="21"/>
      <c r="O41" s="8"/>
      <c r="P41" s="21"/>
      <c r="Q41" s="8"/>
      <c r="R41" s="28"/>
    </row>
    <row r="42" spans="1:18">
      <c r="A42" s="1" t="s">
        <v>179</v>
      </c>
      <c r="B42" s="1" t="s">
        <v>28</v>
      </c>
      <c r="C42" s="3">
        <v>45216</v>
      </c>
      <c r="D42" s="25">
        <f t="shared" si="0"/>
        <v>10</v>
      </c>
      <c r="E42" s="25">
        <f t="shared" si="1"/>
        <v>2023</v>
      </c>
      <c r="F42" s="7" t="s">
        <v>77</v>
      </c>
      <c r="G42" s="2" t="s">
        <v>110</v>
      </c>
      <c r="H42" s="2" t="s">
        <v>114</v>
      </c>
      <c r="I42" s="9">
        <v>5533</v>
      </c>
      <c r="J42" s="10" t="s">
        <v>138</v>
      </c>
      <c r="K42" s="8">
        <v>45217</v>
      </c>
      <c r="L42" s="21">
        <v>2766.5</v>
      </c>
      <c r="M42" s="8">
        <v>45246</v>
      </c>
      <c r="N42" s="21">
        <v>2766.5</v>
      </c>
      <c r="O42" s="8"/>
      <c r="P42" s="21"/>
      <c r="Q42" s="8"/>
      <c r="R42" s="28"/>
    </row>
    <row r="43" spans="1:18">
      <c r="A43" s="1" t="s">
        <v>180</v>
      </c>
      <c r="B43" s="1" t="s">
        <v>22</v>
      </c>
      <c r="C43" s="3">
        <v>45292</v>
      </c>
      <c r="D43" s="25">
        <f t="shared" si="0"/>
        <v>1</v>
      </c>
      <c r="E43" s="25">
        <f t="shared" si="1"/>
        <v>2024</v>
      </c>
      <c r="F43" s="7" t="s">
        <v>71</v>
      </c>
      <c r="G43" s="2" t="s">
        <v>111</v>
      </c>
      <c r="H43" s="2" t="s">
        <v>119</v>
      </c>
      <c r="I43" s="9">
        <v>9498</v>
      </c>
      <c r="J43" s="10" t="s">
        <v>137</v>
      </c>
      <c r="K43" s="8">
        <v>45293</v>
      </c>
      <c r="L43" s="21">
        <v>3166</v>
      </c>
      <c r="M43" s="8">
        <v>45322</v>
      </c>
      <c r="N43" s="21">
        <v>3166</v>
      </c>
      <c r="O43" s="8">
        <v>45337</v>
      </c>
      <c r="P43" s="21">
        <v>3166</v>
      </c>
      <c r="Q43" s="8"/>
      <c r="R43" s="28"/>
    </row>
    <row r="44" spans="1:18">
      <c r="A44" s="1" t="s">
        <v>181</v>
      </c>
      <c r="B44" s="1" t="s">
        <v>15</v>
      </c>
      <c r="C44" s="3">
        <v>45150</v>
      </c>
      <c r="D44" s="25">
        <f t="shared" si="0"/>
        <v>8</v>
      </c>
      <c r="E44" s="25">
        <f t="shared" si="1"/>
        <v>2023</v>
      </c>
      <c r="F44" s="7" t="s">
        <v>64</v>
      </c>
      <c r="G44" s="2" t="s">
        <v>112</v>
      </c>
      <c r="H44" s="2" t="s">
        <v>123</v>
      </c>
      <c r="I44" s="9">
        <v>4564</v>
      </c>
      <c r="J44" s="10" t="s">
        <v>126</v>
      </c>
      <c r="K44" s="8">
        <v>45151</v>
      </c>
      <c r="L44" s="21">
        <v>4564</v>
      </c>
      <c r="M44" s="8"/>
      <c r="N44" s="21"/>
      <c r="O44" s="8"/>
      <c r="P44" s="21"/>
      <c r="Q44" s="8"/>
      <c r="R44" s="28"/>
    </row>
    <row r="45" spans="1:18">
      <c r="A45" s="1" t="s">
        <v>182</v>
      </c>
      <c r="B45" s="1" t="s">
        <v>52</v>
      </c>
      <c r="C45" s="3">
        <v>45493</v>
      </c>
      <c r="D45" s="25">
        <f t="shared" si="0"/>
        <v>7</v>
      </c>
      <c r="E45" s="25">
        <f t="shared" si="1"/>
        <v>2024</v>
      </c>
      <c r="F45" s="7" t="s">
        <v>101</v>
      </c>
      <c r="G45" s="2" t="s">
        <v>111</v>
      </c>
      <c r="H45" s="2" t="s">
        <v>118</v>
      </c>
      <c r="I45" s="9">
        <v>5538</v>
      </c>
      <c r="J45" s="10" t="s">
        <v>136</v>
      </c>
      <c r="K45" s="8">
        <v>45494</v>
      </c>
      <c r="L45" s="21">
        <v>1384.5</v>
      </c>
      <c r="M45" s="8">
        <v>45523</v>
      </c>
      <c r="N45" s="21">
        <v>1384.5</v>
      </c>
      <c r="O45" s="8">
        <v>45538</v>
      </c>
      <c r="P45" s="21">
        <v>1384.5</v>
      </c>
      <c r="Q45" s="8">
        <v>45553</v>
      </c>
      <c r="R45" s="28">
        <v>1384.5</v>
      </c>
    </row>
    <row r="46" spans="1:18">
      <c r="A46" s="1" t="s">
        <v>183</v>
      </c>
      <c r="B46" s="1" t="s">
        <v>56</v>
      </c>
      <c r="C46" s="3">
        <v>45320</v>
      </c>
      <c r="D46" s="25">
        <f t="shared" si="0"/>
        <v>1</v>
      </c>
      <c r="E46" s="25">
        <f t="shared" si="1"/>
        <v>2024</v>
      </c>
      <c r="F46" s="7" t="s">
        <v>105</v>
      </c>
      <c r="G46" s="2" t="s">
        <v>110</v>
      </c>
      <c r="H46" s="2" t="s">
        <v>113</v>
      </c>
      <c r="I46" s="9">
        <v>3074</v>
      </c>
      <c r="J46" s="10" t="s">
        <v>126</v>
      </c>
      <c r="K46" s="8">
        <v>45321</v>
      </c>
      <c r="L46" s="21">
        <v>3074</v>
      </c>
      <c r="M46" s="8"/>
      <c r="N46" s="21"/>
      <c r="O46" s="8"/>
      <c r="P46" s="21"/>
      <c r="Q46" s="8"/>
      <c r="R46" s="28"/>
    </row>
    <row r="47" spans="1:18">
      <c r="A47" s="1" t="s">
        <v>184</v>
      </c>
      <c r="B47" s="1" t="s">
        <v>22</v>
      </c>
      <c r="C47" s="3">
        <v>45527</v>
      </c>
      <c r="D47" s="25">
        <f t="shared" si="0"/>
        <v>8</v>
      </c>
      <c r="E47" s="25">
        <f t="shared" si="1"/>
        <v>2024</v>
      </c>
      <c r="F47" s="7" t="s">
        <v>71</v>
      </c>
      <c r="G47" s="2" t="s">
        <v>111</v>
      </c>
      <c r="H47" s="2" t="s">
        <v>119</v>
      </c>
      <c r="I47" s="9">
        <v>1534</v>
      </c>
      <c r="J47" s="10" t="s">
        <v>136</v>
      </c>
      <c r="K47" s="8">
        <v>45528</v>
      </c>
      <c r="L47" s="21">
        <v>383.5</v>
      </c>
      <c r="M47" s="8">
        <v>45557</v>
      </c>
      <c r="N47" s="21">
        <v>383.5</v>
      </c>
      <c r="O47" s="8">
        <v>45572</v>
      </c>
      <c r="P47" s="21">
        <v>383.5</v>
      </c>
      <c r="Q47" s="8">
        <v>45587</v>
      </c>
      <c r="R47" s="28">
        <v>383.5</v>
      </c>
    </row>
    <row r="48" spans="1:18">
      <c r="A48" s="1" t="s">
        <v>185</v>
      </c>
      <c r="B48" s="1" t="s">
        <v>16</v>
      </c>
      <c r="C48" s="3">
        <v>45178</v>
      </c>
      <c r="D48" s="25">
        <f t="shared" si="0"/>
        <v>9</v>
      </c>
      <c r="E48" s="25">
        <f t="shared" si="1"/>
        <v>2023</v>
      </c>
      <c r="F48" s="7" t="s">
        <v>65</v>
      </c>
      <c r="G48" s="2" t="s">
        <v>110</v>
      </c>
      <c r="H48" s="2" t="s">
        <v>125</v>
      </c>
      <c r="I48" s="9">
        <v>7469</v>
      </c>
      <c r="J48" s="10" t="s">
        <v>126</v>
      </c>
      <c r="K48" s="8">
        <v>45179</v>
      </c>
      <c r="L48" s="21">
        <v>7469</v>
      </c>
      <c r="M48" s="8"/>
      <c r="N48" s="21"/>
      <c r="O48" s="8"/>
      <c r="P48" s="21"/>
      <c r="Q48" s="8"/>
      <c r="R48" s="28"/>
    </row>
    <row r="49" spans="1:18">
      <c r="A49" s="1" t="s">
        <v>186</v>
      </c>
      <c r="B49" s="1" t="s">
        <v>19</v>
      </c>
      <c r="C49" s="3">
        <v>45363</v>
      </c>
      <c r="D49" s="25">
        <f t="shared" si="0"/>
        <v>3</v>
      </c>
      <c r="E49" s="25">
        <f t="shared" si="1"/>
        <v>2024</v>
      </c>
      <c r="F49" s="7" t="s">
        <v>68</v>
      </c>
      <c r="G49" s="2" t="s">
        <v>111</v>
      </c>
      <c r="H49" s="2" t="s">
        <v>118</v>
      </c>
      <c r="I49" s="9">
        <v>9947</v>
      </c>
      <c r="J49" s="10" t="s">
        <v>137</v>
      </c>
      <c r="K49" s="8">
        <v>45364</v>
      </c>
      <c r="L49" s="21">
        <v>3315.6666666666665</v>
      </c>
      <c r="M49" s="8">
        <v>45393</v>
      </c>
      <c r="N49" s="21">
        <v>3315.6666666666665</v>
      </c>
      <c r="O49" s="8">
        <v>45408</v>
      </c>
      <c r="P49" s="21">
        <v>3315.6666666666665</v>
      </c>
      <c r="Q49" s="8"/>
      <c r="R49" s="28"/>
    </row>
    <row r="50" spans="1:18">
      <c r="A50" s="1" t="s">
        <v>187</v>
      </c>
      <c r="B50" s="1" t="s">
        <v>39</v>
      </c>
      <c r="C50" s="3">
        <v>45472</v>
      </c>
      <c r="D50" s="25">
        <f t="shared" si="0"/>
        <v>6</v>
      </c>
      <c r="E50" s="25">
        <f t="shared" si="1"/>
        <v>2024</v>
      </c>
      <c r="F50" s="7" t="s">
        <v>88</v>
      </c>
      <c r="G50" s="2" t="s">
        <v>110</v>
      </c>
      <c r="H50" s="2" t="s">
        <v>114</v>
      </c>
      <c r="I50" s="9">
        <v>2814</v>
      </c>
      <c r="J50" s="10" t="s">
        <v>126</v>
      </c>
      <c r="K50" s="8">
        <v>45473</v>
      </c>
      <c r="L50" s="21">
        <v>2814</v>
      </c>
      <c r="M50" s="8"/>
      <c r="N50" s="21"/>
      <c r="O50" s="8"/>
      <c r="P50" s="21"/>
      <c r="Q50" s="8"/>
      <c r="R50" s="28"/>
    </row>
    <row r="51" spans="1:18">
      <c r="A51" s="1" t="s">
        <v>188</v>
      </c>
      <c r="B51" s="1" t="s">
        <v>26</v>
      </c>
      <c r="C51" s="3">
        <v>45285</v>
      </c>
      <c r="D51" s="25">
        <f t="shared" si="0"/>
        <v>12</v>
      </c>
      <c r="E51" s="25">
        <f t="shared" si="1"/>
        <v>2023</v>
      </c>
      <c r="F51" s="7" t="s">
        <v>75</v>
      </c>
      <c r="G51" s="2" t="s">
        <v>112</v>
      </c>
      <c r="H51" s="2" t="s">
        <v>123</v>
      </c>
      <c r="I51" s="9">
        <v>2049</v>
      </c>
      <c r="J51" s="10" t="s">
        <v>126</v>
      </c>
      <c r="K51" s="8">
        <v>45286</v>
      </c>
      <c r="L51" s="21">
        <v>2049</v>
      </c>
      <c r="M51" s="8"/>
      <c r="N51" s="21"/>
      <c r="O51" s="8"/>
      <c r="P51" s="21"/>
      <c r="Q51" s="8"/>
      <c r="R51" s="28"/>
    </row>
    <row r="52" spans="1:18">
      <c r="A52" s="1" t="s">
        <v>189</v>
      </c>
      <c r="B52" s="1" t="s">
        <v>31</v>
      </c>
      <c r="C52" s="3">
        <v>45293</v>
      </c>
      <c r="D52" s="25">
        <f t="shared" si="0"/>
        <v>1</v>
      </c>
      <c r="E52" s="25">
        <f t="shared" si="1"/>
        <v>2024</v>
      </c>
      <c r="F52" s="7" t="s">
        <v>80</v>
      </c>
      <c r="G52" s="2" t="s">
        <v>111</v>
      </c>
      <c r="H52" s="2" t="s">
        <v>117</v>
      </c>
      <c r="I52" s="9">
        <v>4784</v>
      </c>
      <c r="J52" s="10" t="s">
        <v>138</v>
      </c>
      <c r="K52" s="8">
        <v>45294</v>
      </c>
      <c r="L52" s="21">
        <v>2392</v>
      </c>
      <c r="M52" s="8">
        <v>45323</v>
      </c>
      <c r="N52" s="21">
        <v>2392</v>
      </c>
      <c r="O52" s="8"/>
      <c r="P52" s="21"/>
      <c r="Q52" s="8"/>
      <c r="R52" s="28"/>
    </row>
    <row r="53" spans="1:18">
      <c r="A53" s="1" t="s">
        <v>190</v>
      </c>
      <c r="B53" s="1" t="s">
        <v>19</v>
      </c>
      <c r="C53" s="3">
        <v>45089</v>
      </c>
      <c r="D53" s="25">
        <f t="shared" si="0"/>
        <v>6</v>
      </c>
      <c r="E53" s="25">
        <f t="shared" si="1"/>
        <v>2023</v>
      </c>
      <c r="F53" s="7" t="s">
        <v>68</v>
      </c>
      <c r="G53" s="4" t="s">
        <v>111</v>
      </c>
      <c r="H53" s="4" t="s">
        <v>118</v>
      </c>
      <c r="I53" s="9">
        <v>3758</v>
      </c>
      <c r="J53" s="9" t="s">
        <v>137</v>
      </c>
      <c r="K53" s="8">
        <v>45090</v>
      </c>
      <c r="L53" s="21">
        <v>1252.6666666666667</v>
      </c>
      <c r="M53" s="8">
        <v>45119</v>
      </c>
      <c r="N53" s="21">
        <v>1252.6666666666667</v>
      </c>
      <c r="O53" s="8">
        <v>45134</v>
      </c>
      <c r="P53" s="21">
        <v>1252.6666666666667</v>
      </c>
      <c r="Q53" s="8"/>
      <c r="R53" s="28"/>
    </row>
    <row r="54" spans="1:18">
      <c r="A54" s="1" t="s">
        <v>191</v>
      </c>
      <c r="B54" s="6" t="s">
        <v>37</v>
      </c>
      <c r="C54" s="7">
        <v>45240</v>
      </c>
      <c r="D54" s="25">
        <f t="shared" si="0"/>
        <v>11</v>
      </c>
      <c r="E54" s="25">
        <f t="shared" si="1"/>
        <v>2023</v>
      </c>
      <c r="F54" s="7" t="s">
        <v>86</v>
      </c>
      <c r="G54" s="4" t="s">
        <v>112</v>
      </c>
      <c r="H54" s="4" t="s">
        <v>123</v>
      </c>
      <c r="I54" s="9">
        <v>3093</v>
      </c>
      <c r="J54" s="9" t="s">
        <v>126</v>
      </c>
      <c r="K54" s="8">
        <v>45241</v>
      </c>
      <c r="L54" s="21">
        <v>3093</v>
      </c>
      <c r="M54" s="8"/>
      <c r="N54" s="21"/>
      <c r="O54" s="8"/>
      <c r="P54" s="21"/>
      <c r="Q54" s="8"/>
      <c r="R54" s="28"/>
    </row>
    <row r="55" spans="1:18">
      <c r="A55" s="1" t="s">
        <v>192</v>
      </c>
      <c r="B55" s="6" t="s">
        <v>14</v>
      </c>
      <c r="C55" s="7">
        <v>45158</v>
      </c>
      <c r="D55" s="25">
        <f t="shared" si="0"/>
        <v>8</v>
      </c>
      <c r="E55" s="25">
        <f t="shared" si="1"/>
        <v>2023</v>
      </c>
      <c r="F55" s="7" t="s">
        <v>61</v>
      </c>
      <c r="G55" s="4" t="s">
        <v>110</v>
      </c>
      <c r="H55" s="4" t="s">
        <v>113</v>
      </c>
      <c r="I55" s="9">
        <v>6874</v>
      </c>
      <c r="J55" s="9" t="s">
        <v>137</v>
      </c>
      <c r="K55" s="8">
        <v>45159</v>
      </c>
      <c r="L55" s="21">
        <v>2291.3333333333335</v>
      </c>
      <c r="M55" s="8">
        <v>45188</v>
      </c>
      <c r="N55" s="21">
        <v>2291.3333333333335</v>
      </c>
      <c r="O55" s="8">
        <v>45203</v>
      </c>
      <c r="P55" s="21">
        <v>2291.3333333333335</v>
      </c>
      <c r="Q55" s="8"/>
      <c r="R55" s="28"/>
    </row>
    <row r="56" spans="1:18">
      <c r="A56" s="1" t="s">
        <v>193</v>
      </c>
      <c r="B56" s="6" t="s">
        <v>51</v>
      </c>
      <c r="C56" s="7">
        <v>45315</v>
      </c>
      <c r="D56" s="25">
        <f t="shared" si="0"/>
        <v>1</v>
      </c>
      <c r="E56" s="25">
        <f t="shared" si="1"/>
        <v>2024</v>
      </c>
      <c r="F56" s="7" t="s">
        <v>100</v>
      </c>
      <c r="G56" s="4" t="s">
        <v>111</v>
      </c>
      <c r="H56" s="4" t="s">
        <v>121</v>
      </c>
      <c r="I56" s="9">
        <v>9167</v>
      </c>
      <c r="J56" s="9" t="s">
        <v>138</v>
      </c>
      <c r="K56" s="8">
        <v>45316</v>
      </c>
      <c r="L56" s="21">
        <v>4583.5</v>
      </c>
      <c r="M56" s="8">
        <v>45345</v>
      </c>
      <c r="N56" s="21">
        <v>4583.5</v>
      </c>
      <c r="O56" s="8"/>
      <c r="P56" s="21"/>
      <c r="Q56" s="8"/>
      <c r="R56" s="28"/>
    </row>
    <row r="57" spans="1:18">
      <c r="A57" s="1" t="s">
        <v>194</v>
      </c>
      <c r="B57" s="6" t="s">
        <v>18</v>
      </c>
      <c r="C57" s="7">
        <v>45284</v>
      </c>
      <c r="D57" s="25">
        <f t="shared" si="0"/>
        <v>12</v>
      </c>
      <c r="E57" s="25">
        <f t="shared" si="1"/>
        <v>2023</v>
      </c>
      <c r="F57" s="7" t="s">
        <v>67</v>
      </c>
      <c r="G57" s="4" t="s">
        <v>111</v>
      </c>
      <c r="H57" s="4" t="s">
        <v>121</v>
      </c>
      <c r="I57" s="9">
        <v>9532</v>
      </c>
      <c r="J57" s="9" t="s">
        <v>137</v>
      </c>
      <c r="K57" s="8">
        <v>45285</v>
      </c>
      <c r="L57" s="21">
        <v>3177.3333333333335</v>
      </c>
      <c r="M57" s="8">
        <v>45314</v>
      </c>
      <c r="N57" s="21">
        <v>3177.3333333333335</v>
      </c>
      <c r="O57" s="8">
        <v>45329</v>
      </c>
      <c r="P57" s="21">
        <v>3177.3333333333335</v>
      </c>
      <c r="Q57" s="8"/>
      <c r="R57" s="28"/>
    </row>
    <row r="58" spans="1:18">
      <c r="A58" s="1" t="s">
        <v>195</v>
      </c>
      <c r="B58" s="6" t="s">
        <v>49</v>
      </c>
      <c r="C58" s="7">
        <v>45441</v>
      </c>
      <c r="D58" s="25">
        <f t="shared" si="0"/>
        <v>5</v>
      </c>
      <c r="E58" s="25">
        <f t="shared" si="1"/>
        <v>2024</v>
      </c>
      <c r="F58" s="7" t="s">
        <v>98</v>
      </c>
      <c r="G58" s="4" t="s">
        <v>110</v>
      </c>
      <c r="H58" s="4" t="s">
        <v>125</v>
      </c>
      <c r="I58" s="9">
        <v>4103</v>
      </c>
      <c r="J58" s="9" t="s">
        <v>126</v>
      </c>
      <c r="K58" s="8">
        <v>45442</v>
      </c>
      <c r="L58" s="21">
        <v>4103</v>
      </c>
      <c r="M58" s="8"/>
      <c r="N58" s="21"/>
      <c r="O58" s="8"/>
      <c r="P58" s="21"/>
      <c r="Q58" s="8"/>
      <c r="R58" s="28"/>
    </row>
    <row r="59" spans="1:18">
      <c r="A59" s="1" t="s">
        <v>196</v>
      </c>
      <c r="B59" s="6" t="s">
        <v>24</v>
      </c>
      <c r="C59" s="7">
        <v>45354</v>
      </c>
      <c r="D59" s="25">
        <f t="shared" si="0"/>
        <v>3</v>
      </c>
      <c r="E59" s="25">
        <f t="shared" si="1"/>
        <v>2024</v>
      </c>
      <c r="F59" s="7" t="s">
        <v>73</v>
      </c>
      <c r="G59" s="4" t="s">
        <v>112</v>
      </c>
      <c r="H59" s="4" t="s">
        <v>122</v>
      </c>
      <c r="I59" s="9">
        <v>3979</v>
      </c>
      <c r="J59" s="9" t="s">
        <v>126</v>
      </c>
      <c r="K59" s="8">
        <v>45355</v>
      </c>
      <c r="L59" s="21">
        <v>3979</v>
      </c>
      <c r="M59" s="8"/>
      <c r="N59" s="21"/>
      <c r="O59" s="8"/>
      <c r="P59" s="21"/>
      <c r="Q59" s="8"/>
      <c r="R59" s="28"/>
    </row>
    <row r="60" spans="1:18">
      <c r="A60" s="1" t="s">
        <v>197</v>
      </c>
      <c r="B60" s="6" t="s">
        <v>13</v>
      </c>
      <c r="C60" s="7">
        <v>45306</v>
      </c>
      <c r="D60" s="25">
        <f t="shared" si="0"/>
        <v>1</v>
      </c>
      <c r="E60" s="25">
        <f t="shared" si="1"/>
        <v>2024</v>
      </c>
      <c r="F60" s="7" t="s">
        <v>63</v>
      </c>
      <c r="G60" s="4" t="s">
        <v>111</v>
      </c>
      <c r="H60" s="4" t="s">
        <v>120</v>
      </c>
      <c r="I60" s="9">
        <v>3454</v>
      </c>
      <c r="J60" s="9" t="s">
        <v>136</v>
      </c>
      <c r="K60" s="8">
        <v>45307</v>
      </c>
      <c r="L60" s="21">
        <v>863.5</v>
      </c>
      <c r="M60" s="8">
        <v>45336</v>
      </c>
      <c r="N60" s="21">
        <v>863.5</v>
      </c>
      <c r="O60" s="8">
        <v>45351</v>
      </c>
      <c r="P60" s="21">
        <v>863.5</v>
      </c>
      <c r="Q60" s="8">
        <v>45366</v>
      </c>
      <c r="R60" s="28">
        <v>863.5</v>
      </c>
    </row>
    <row r="61" spans="1:18">
      <c r="A61" s="1" t="s">
        <v>198</v>
      </c>
      <c r="B61" s="6" t="s">
        <v>46</v>
      </c>
      <c r="C61" s="7">
        <v>45277</v>
      </c>
      <c r="D61" s="25">
        <f t="shared" si="0"/>
        <v>12</v>
      </c>
      <c r="E61" s="25">
        <f t="shared" si="1"/>
        <v>2023</v>
      </c>
      <c r="F61" s="7" t="s">
        <v>95</v>
      </c>
      <c r="G61" s="4" t="s">
        <v>112</v>
      </c>
      <c r="H61" s="4" t="s">
        <v>122</v>
      </c>
      <c r="I61" s="9">
        <v>1846</v>
      </c>
      <c r="J61" s="9" t="s">
        <v>126</v>
      </c>
      <c r="K61" s="8">
        <v>45278</v>
      </c>
      <c r="L61" s="21">
        <v>1846</v>
      </c>
      <c r="M61" s="8"/>
      <c r="N61" s="21"/>
      <c r="O61" s="8"/>
      <c r="P61" s="21"/>
      <c r="Q61" s="8"/>
      <c r="R61" s="28"/>
    </row>
    <row r="62" spans="1:18">
      <c r="A62" s="1" t="s">
        <v>199</v>
      </c>
      <c r="B62" s="6" t="s">
        <v>30</v>
      </c>
      <c r="C62" s="7">
        <v>45203</v>
      </c>
      <c r="D62" s="25">
        <f t="shared" si="0"/>
        <v>10</v>
      </c>
      <c r="E62" s="25">
        <f t="shared" si="1"/>
        <v>2023</v>
      </c>
      <c r="F62" s="7" t="s">
        <v>79</v>
      </c>
      <c r="G62" s="4" t="s">
        <v>111</v>
      </c>
      <c r="H62" s="4" t="s">
        <v>118</v>
      </c>
      <c r="I62" s="9">
        <v>4464</v>
      </c>
      <c r="J62" s="9" t="s">
        <v>126</v>
      </c>
      <c r="K62" s="8">
        <v>45204</v>
      </c>
      <c r="L62" s="21">
        <v>4464</v>
      </c>
      <c r="M62" s="8"/>
      <c r="N62" s="21"/>
      <c r="O62" s="8"/>
      <c r="P62" s="21"/>
      <c r="Q62" s="8"/>
      <c r="R62" s="28"/>
    </row>
    <row r="63" spans="1:18">
      <c r="A63" s="1" t="s">
        <v>200</v>
      </c>
      <c r="B63" s="6" t="s">
        <v>38</v>
      </c>
      <c r="C63" s="7">
        <v>45238</v>
      </c>
      <c r="D63" s="25">
        <f t="shared" si="0"/>
        <v>11</v>
      </c>
      <c r="E63" s="25">
        <f t="shared" si="1"/>
        <v>2023</v>
      </c>
      <c r="F63" s="7" t="s">
        <v>87</v>
      </c>
      <c r="G63" s="4" t="s">
        <v>110</v>
      </c>
      <c r="H63" s="4" t="s">
        <v>125</v>
      </c>
      <c r="I63" s="9">
        <v>4026</v>
      </c>
      <c r="J63" s="9" t="s">
        <v>137</v>
      </c>
      <c r="K63" s="8">
        <v>45239</v>
      </c>
      <c r="L63" s="21">
        <v>1342</v>
      </c>
      <c r="M63" s="8">
        <v>45268</v>
      </c>
      <c r="N63" s="21">
        <v>1342</v>
      </c>
      <c r="O63" s="8">
        <v>45283</v>
      </c>
      <c r="P63" s="21">
        <v>1342</v>
      </c>
      <c r="Q63" s="8"/>
      <c r="R63" s="28"/>
    </row>
    <row r="64" spans="1:18">
      <c r="A64" s="1" t="s">
        <v>201</v>
      </c>
      <c r="B64" s="6" t="s">
        <v>52</v>
      </c>
      <c r="C64" s="7">
        <v>45143</v>
      </c>
      <c r="D64" s="25">
        <f t="shared" si="0"/>
        <v>8</v>
      </c>
      <c r="E64" s="25">
        <f t="shared" si="1"/>
        <v>2023</v>
      </c>
      <c r="F64" s="7" t="s">
        <v>101</v>
      </c>
      <c r="G64" s="4" t="s">
        <v>111</v>
      </c>
      <c r="H64" s="4" t="s">
        <v>118</v>
      </c>
      <c r="I64" s="9">
        <v>7675</v>
      </c>
      <c r="J64" s="9" t="s">
        <v>137</v>
      </c>
      <c r="K64" s="8">
        <v>45144</v>
      </c>
      <c r="L64" s="21">
        <v>2558.3333333333335</v>
      </c>
      <c r="M64" s="8">
        <v>45173</v>
      </c>
      <c r="N64" s="21">
        <v>2558.3333333333335</v>
      </c>
      <c r="O64" s="8">
        <v>45188</v>
      </c>
      <c r="P64" s="21">
        <v>2558.3333333333335</v>
      </c>
      <c r="Q64" s="8"/>
      <c r="R64" s="28"/>
    </row>
    <row r="65" spans="1:18">
      <c r="A65" s="1" t="s">
        <v>202</v>
      </c>
      <c r="B65" s="6" t="s">
        <v>41</v>
      </c>
      <c r="C65" s="7">
        <v>45123</v>
      </c>
      <c r="D65" s="25">
        <f t="shared" si="0"/>
        <v>7</v>
      </c>
      <c r="E65" s="25">
        <f t="shared" si="1"/>
        <v>2023</v>
      </c>
      <c r="F65" s="7" t="s">
        <v>90</v>
      </c>
      <c r="G65" s="4" t="s">
        <v>111</v>
      </c>
      <c r="H65" s="4" t="s">
        <v>118</v>
      </c>
      <c r="I65" s="9">
        <v>1083</v>
      </c>
      <c r="J65" s="9" t="s">
        <v>138</v>
      </c>
      <c r="K65" s="8">
        <v>45124</v>
      </c>
      <c r="L65" s="21">
        <v>541.5</v>
      </c>
      <c r="M65" s="8">
        <v>45153</v>
      </c>
      <c r="N65" s="21">
        <v>541.5</v>
      </c>
      <c r="O65" s="8"/>
      <c r="P65" s="21"/>
      <c r="Q65" s="8"/>
      <c r="R65" s="28"/>
    </row>
    <row r="66" spans="1:18">
      <c r="A66" s="1" t="s">
        <v>203</v>
      </c>
      <c r="B66" s="6" t="s">
        <v>43</v>
      </c>
      <c r="C66" s="7">
        <v>45208</v>
      </c>
      <c r="D66" s="25">
        <f t="shared" si="0"/>
        <v>10</v>
      </c>
      <c r="E66" s="25">
        <f t="shared" si="1"/>
        <v>2023</v>
      </c>
      <c r="F66" s="7" t="s">
        <v>92</v>
      </c>
      <c r="G66" s="4" t="s">
        <v>110</v>
      </c>
      <c r="H66" s="4" t="s">
        <v>124</v>
      </c>
      <c r="I66" s="9">
        <v>937</v>
      </c>
      <c r="J66" s="9" t="s">
        <v>138</v>
      </c>
      <c r="K66" s="8">
        <v>45209</v>
      </c>
      <c r="L66" s="21">
        <v>468.5</v>
      </c>
      <c r="M66" s="8">
        <v>45238</v>
      </c>
      <c r="N66" s="21">
        <v>468.5</v>
      </c>
      <c r="O66" s="8"/>
      <c r="P66" s="21"/>
      <c r="Q66" s="8"/>
      <c r="R66" s="28"/>
    </row>
    <row r="67" spans="1:18">
      <c r="A67" s="1" t="s">
        <v>204</v>
      </c>
      <c r="B67" s="6" t="s">
        <v>53</v>
      </c>
      <c r="C67" s="7">
        <v>45385</v>
      </c>
      <c r="D67" s="25">
        <f t="shared" si="0"/>
        <v>4</v>
      </c>
      <c r="E67" s="25">
        <f t="shared" si="1"/>
        <v>2024</v>
      </c>
      <c r="F67" s="7" t="s">
        <v>102</v>
      </c>
      <c r="G67" s="4" t="s">
        <v>111</v>
      </c>
      <c r="H67" s="4" t="s">
        <v>117</v>
      </c>
      <c r="I67" s="9">
        <v>5152</v>
      </c>
      <c r="J67" s="9" t="s">
        <v>138</v>
      </c>
      <c r="K67" s="8">
        <v>45386</v>
      </c>
      <c r="L67" s="21">
        <v>2576</v>
      </c>
      <c r="M67" s="8">
        <v>45415</v>
      </c>
      <c r="N67" s="21">
        <v>2576</v>
      </c>
      <c r="O67" s="8"/>
      <c r="P67" s="21"/>
      <c r="Q67" s="8"/>
      <c r="R67" s="28"/>
    </row>
    <row r="68" spans="1:18">
      <c r="A68" s="1" t="s">
        <v>205</v>
      </c>
      <c r="B68" s="6" t="s">
        <v>51</v>
      </c>
      <c r="C68" s="7">
        <v>45194</v>
      </c>
      <c r="D68" s="25">
        <f t="shared" ref="D68:D131" si="2">MONTH(C68)</f>
        <v>9</v>
      </c>
      <c r="E68" s="25">
        <f t="shared" ref="E68:E131" si="3">YEAR(C68)</f>
        <v>2023</v>
      </c>
      <c r="F68" s="7" t="s">
        <v>100</v>
      </c>
      <c r="G68" s="4" t="s">
        <v>111</v>
      </c>
      <c r="H68" s="4" t="s">
        <v>121</v>
      </c>
      <c r="I68" s="9">
        <v>1653</v>
      </c>
      <c r="J68" s="9" t="s">
        <v>136</v>
      </c>
      <c r="K68" s="8">
        <v>45195</v>
      </c>
      <c r="L68" s="21">
        <v>413.25</v>
      </c>
      <c r="M68" s="8">
        <v>45224</v>
      </c>
      <c r="N68" s="21">
        <v>413.25</v>
      </c>
      <c r="O68" s="8">
        <v>45239</v>
      </c>
      <c r="P68" s="21">
        <v>413.25</v>
      </c>
      <c r="Q68" s="8">
        <v>45254</v>
      </c>
      <c r="R68" s="28">
        <v>413.25</v>
      </c>
    </row>
    <row r="69" spans="1:18">
      <c r="A69" s="1" t="s">
        <v>206</v>
      </c>
      <c r="B69" s="6" t="s">
        <v>44</v>
      </c>
      <c r="C69" s="7">
        <v>45501</v>
      </c>
      <c r="D69" s="25">
        <f t="shared" si="2"/>
        <v>7</v>
      </c>
      <c r="E69" s="25">
        <f t="shared" si="3"/>
        <v>2024</v>
      </c>
      <c r="F69" s="7" t="s">
        <v>93</v>
      </c>
      <c r="G69" s="4" t="s">
        <v>111</v>
      </c>
      <c r="H69" s="4" t="s">
        <v>119</v>
      </c>
      <c r="I69" s="9">
        <v>1492</v>
      </c>
      <c r="J69" s="9" t="s">
        <v>136</v>
      </c>
      <c r="K69" s="8">
        <v>45502</v>
      </c>
      <c r="L69" s="21">
        <v>373</v>
      </c>
      <c r="M69" s="8">
        <v>45531</v>
      </c>
      <c r="N69" s="21">
        <v>373</v>
      </c>
      <c r="O69" s="8">
        <v>45546</v>
      </c>
      <c r="P69" s="21">
        <v>373</v>
      </c>
      <c r="Q69" s="8">
        <v>45561</v>
      </c>
      <c r="R69" s="28">
        <v>373</v>
      </c>
    </row>
    <row r="70" spans="1:18">
      <c r="A70" s="1" t="s">
        <v>207</v>
      </c>
      <c r="B70" s="6" t="s">
        <v>32</v>
      </c>
      <c r="C70" s="7">
        <v>45053</v>
      </c>
      <c r="D70" s="25">
        <f t="shared" si="2"/>
        <v>5</v>
      </c>
      <c r="E70" s="25">
        <f t="shared" si="3"/>
        <v>2023</v>
      </c>
      <c r="F70" s="7" t="s">
        <v>81</v>
      </c>
      <c r="G70" s="4" t="s">
        <v>110</v>
      </c>
      <c r="H70" s="4" t="s">
        <v>124</v>
      </c>
      <c r="I70" s="9">
        <v>1271</v>
      </c>
      <c r="J70" s="9" t="s">
        <v>136</v>
      </c>
      <c r="K70" s="8">
        <v>45054</v>
      </c>
      <c r="L70" s="21">
        <v>317.75</v>
      </c>
      <c r="M70" s="8">
        <v>45083</v>
      </c>
      <c r="N70" s="21">
        <v>317.75</v>
      </c>
      <c r="O70" s="8">
        <v>45098</v>
      </c>
      <c r="P70" s="21">
        <v>317.75</v>
      </c>
      <c r="Q70" s="8">
        <v>45113</v>
      </c>
      <c r="R70" s="28">
        <v>317.75</v>
      </c>
    </row>
    <row r="71" spans="1:18">
      <c r="A71" s="1" t="s">
        <v>208</v>
      </c>
      <c r="B71" s="6" t="s">
        <v>60</v>
      </c>
      <c r="C71" s="7">
        <v>45547</v>
      </c>
      <c r="D71" s="25">
        <f t="shared" si="2"/>
        <v>9</v>
      </c>
      <c r="E71" s="25">
        <f t="shared" si="3"/>
        <v>2024</v>
      </c>
      <c r="F71" s="7" t="s">
        <v>109</v>
      </c>
      <c r="G71" s="4" t="s">
        <v>111</v>
      </c>
      <c r="H71" s="4" t="s">
        <v>118</v>
      </c>
      <c r="I71" s="9">
        <v>4805</v>
      </c>
      <c r="J71" s="9" t="s">
        <v>137</v>
      </c>
      <c r="K71" s="8">
        <v>45548</v>
      </c>
      <c r="L71" s="21">
        <v>1601.6666666666667</v>
      </c>
      <c r="M71" s="8">
        <v>45577</v>
      </c>
      <c r="N71" s="21">
        <v>1601.6666666666667</v>
      </c>
      <c r="O71" s="8">
        <v>45592</v>
      </c>
      <c r="P71" s="21">
        <v>1601.6666666666667</v>
      </c>
      <c r="Q71" s="8"/>
      <c r="R71" s="28"/>
    </row>
    <row r="72" spans="1:18">
      <c r="A72" s="1" t="s">
        <v>209</v>
      </c>
      <c r="B72" s="6" t="s">
        <v>57</v>
      </c>
      <c r="C72" s="7">
        <v>45224</v>
      </c>
      <c r="D72" s="25">
        <f t="shared" si="2"/>
        <v>10</v>
      </c>
      <c r="E72" s="25">
        <f t="shared" si="3"/>
        <v>2023</v>
      </c>
      <c r="F72" s="7" t="s">
        <v>106</v>
      </c>
      <c r="G72" s="4" t="s">
        <v>112</v>
      </c>
      <c r="H72" s="4" t="s">
        <v>122</v>
      </c>
      <c r="I72" s="9">
        <v>7493</v>
      </c>
      <c r="J72" s="9" t="s">
        <v>126</v>
      </c>
      <c r="K72" s="8">
        <v>45225</v>
      </c>
      <c r="L72" s="21">
        <v>7493</v>
      </c>
      <c r="M72" s="8"/>
      <c r="N72" s="21"/>
      <c r="O72" s="8"/>
      <c r="P72" s="21"/>
      <c r="Q72" s="8"/>
      <c r="R72" s="28"/>
    </row>
    <row r="73" spans="1:18">
      <c r="A73" s="1" t="s">
        <v>210</v>
      </c>
      <c r="B73" s="6" t="s">
        <v>22</v>
      </c>
      <c r="C73" s="7">
        <v>45325</v>
      </c>
      <c r="D73" s="25">
        <f t="shared" si="2"/>
        <v>2</v>
      </c>
      <c r="E73" s="25">
        <f t="shared" si="3"/>
        <v>2024</v>
      </c>
      <c r="F73" s="7" t="s">
        <v>71</v>
      </c>
      <c r="G73" s="4" t="s">
        <v>111</v>
      </c>
      <c r="H73" s="4" t="s">
        <v>119</v>
      </c>
      <c r="I73" s="9">
        <v>7961</v>
      </c>
      <c r="J73" s="9" t="s">
        <v>136</v>
      </c>
      <c r="K73" s="8">
        <v>45326</v>
      </c>
      <c r="L73" s="21">
        <v>1990.25</v>
      </c>
      <c r="M73" s="8">
        <v>45355</v>
      </c>
      <c r="N73" s="21">
        <v>1990.25</v>
      </c>
      <c r="O73" s="8">
        <v>45370</v>
      </c>
      <c r="P73" s="21">
        <v>1990.25</v>
      </c>
      <c r="Q73" s="8">
        <v>45385</v>
      </c>
      <c r="R73" s="28">
        <v>1990.25</v>
      </c>
    </row>
    <row r="74" spans="1:18">
      <c r="A74" s="1" t="s">
        <v>211</v>
      </c>
      <c r="B74" s="6" t="s">
        <v>28</v>
      </c>
      <c r="C74" s="7">
        <v>45202</v>
      </c>
      <c r="D74" s="25">
        <f t="shared" si="2"/>
        <v>10</v>
      </c>
      <c r="E74" s="25">
        <f t="shared" si="3"/>
        <v>2023</v>
      </c>
      <c r="F74" s="7" t="s">
        <v>77</v>
      </c>
      <c r="G74" s="4" t="s">
        <v>110</v>
      </c>
      <c r="H74" s="4" t="s">
        <v>114</v>
      </c>
      <c r="I74" s="9">
        <v>7983</v>
      </c>
      <c r="J74" s="9" t="s">
        <v>136</v>
      </c>
      <c r="K74" s="8">
        <v>45203</v>
      </c>
      <c r="L74" s="21">
        <v>1995.75</v>
      </c>
      <c r="M74" s="8">
        <v>45232</v>
      </c>
      <c r="N74" s="21">
        <v>1995.75</v>
      </c>
      <c r="O74" s="8">
        <v>45247</v>
      </c>
      <c r="P74" s="21">
        <v>1995.75</v>
      </c>
      <c r="Q74" s="8">
        <v>45262</v>
      </c>
      <c r="R74" s="28">
        <v>1995.75</v>
      </c>
    </row>
    <row r="75" spans="1:18">
      <c r="A75" s="1" t="s">
        <v>212</v>
      </c>
      <c r="B75" s="6" t="s">
        <v>36</v>
      </c>
      <c r="C75" s="7">
        <v>45294</v>
      </c>
      <c r="D75" s="25">
        <f t="shared" si="2"/>
        <v>1</v>
      </c>
      <c r="E75" s="25">
        <f t="shared" si="3"/>
        <v>2024</v>
      </c>
      <c r="F75" s="7" t="s">
        <v>85</v>
      </c>
      <c r="G75" s="4" t="s">
        <v>111</v>
      </c>
      <c r="H75" s="4" t="s">
        <v>120</v>
      </c>
      <c r="I75" s="9">
        <v>1465</v>
      </c>
      <c r="J75" s="9" t="s">
        <v>126</v>
      </c>
      <c r="K75" s="8">
        <v>45295</v>
      </c>
      <c r="L75" s="21">
        <v>1465</v>
      </c>
      <c r="M75" s="8"/>
      <c r="N75" s="21"/>
      <c r="O75" s="8"/>
      <c r="P75" s="21"/>
      <c r="Q75" s="8"/>
      <c r="R75" s="28"/>
    </row>
    <row r="76" spans="1:18">
      <c r="A76" s="1" t="s">
        <v>213</v>
      </c>
      <c r="B76" s="6" t="s">
        <v>54</v>
      </c>
      <c r="C76" s="7">
        <v>45415</v>
      </c>
      <c r="D76" s="25">
        <f t="shared" si="2"/>
        <v>5</v>
      </c>
      <c r="E76" s="25">
        <f t="shared" si="3"/>
        <v>2024</v>
      </c>
      <c r="F76" s="7" t="s">
        <v>103</v>
      </c>
      <c r="G76" s="4" t="s">
        <v>110</v>
      </c>
      <c r="H76" s="4" t="s">
        <v>124</v>
      </c>
      <c r="I76" s="9">
        <v>8254</v>
      </c>
      <c r="J76" s="9" t="s">
        <v>136</v>
      </c>
      <c r="K76" s="8">
        <v>45416</v>
      </c>
      <c r="L76" s="21">
        <v>2063.5</v>
      </c>
      <c r="M76" s="8">
        <v>45445</v>
      </c>
      <c r="N76" s="21">
        <v>2063.5</v>
      </c>
      <c r="O76" s="8">
        <v>45460</v>
      </c>
      <c r="P76" s="21">
        <v>2063.5</v>
      </c>
      <c r="Q76" s="8">
        <v>45475</v>
      </c>
      <c r="R76" s="28">
        <v>2063.5</v>
      </c>
    </row>
    <row r="77" spans="1:18">
      <c r="A77" s="1" t="s">
        <v>214</v>
      </c>
      <c r="B77" s="6" t="s">
        <v>53</v>
      </c>
      <c r="C77" s="7">
        <v>45272</v>
      </c>
      <c r="D77" s="25">
        <f t="shared" si="2"/>
        <v>12</v>
      </c>
      <c r="E77" s="25">
        <f t="shared" si="3"/>
        <v>2023</v>
      </c>
      <c r="F77" s="7" t="s">
        <v>102</v>
      </c>
      <c r="G77" s="4" t="s">
        <v>111</v>
      </c>
      <c r="H77" s="4" t="s">
        <v>117</v>
      </c>
      <c r="I77" s="9">
        <v>1081</v>
      </c>
      <c r="J77" s="9" t="s">
        <v>137</v>
      </c>
      <c r="K77" s="8">
        <v>45273</v>
      </c>
      <c r="L77" s="21">
        <v>360.33333333333331</v>
      </c>
      <c r="M77" s="8">
        <v>45302</v>
      </c>
      <c r="N77" s="21">
        <v>360.33333333333331</v>
      </c>
      <c r="O77" s="8">
        <v>45317</v>
      </c>
      <c r="P77" s="21">
        <v>360.33333333333331</v>
      </c>
      <c r="Q77" s="8"/>
      <c r="R77" s="28"/>
    </row>
    <row r="78" spans="1:18">
      <c r="A78" s="1" t="s">
        <v>215</v>
      </c>
      <c r="B78" s="6" t="s">
        <v>38</v>
      </c>
      <c r="C78" s="7">
        <v>45199</v>
      </c>
      <c r="D78" s="25">
        <f t="shared" si="2"/>
        <v>9</v>
      </c>
      <c r="E78" s="25">
        <f t="shared" si="3"/>
        <v>2023</v>
      </c>
      <c r="F78" s="7" t="s">
        <v>87</v>
      </c>
      <c r="G78" s="4" t="s">
        <v>110</v>
      </c>
      <c r="H78" s="4" t="s">
        <v>125</v>
      </c>
      <c r="I78" s="9">
        <v>458</v>
      </c>
      <c r="J78" s="9" t="s">
        <v>138</v>
      </c>
      <c r="K78" s="8">
        <v>45200</v>
      </c>
      <c r="L78" s="21">
        <v>229</v>
      </c>
      <c r="M78" s="8">
        <v>45229</v>
      </c>
      <c r="N78" s="21">
        <v>229</v>
      </c>
      <c r="O78" s="8"/>
      <c r="P78" s="21"/>
      <c r="Q78" s="8"/>
      <c r="R78" s="28"/>
    </row>
    <row r="79" spans="1:18">
      <c r="A79" s="1" t="s">
        <v>216</v>
      </c>
      <c r="B79" s="6" t="s">
        <v>26</v>
      </c>
      <c r="C79" s="7">
        <v>45167</v>
      </c>
      <c r="D79" s="25">
        <f t="shared" si="2"/>
        <v>8</v>
      </c>
      <c r="E79" s="25">
        <f t="shared" si="3"/>
        <v>2023</v>
      </c>
      <c r="F79" s="7" t="s">
        <v>75</v>
      </c>
      <c r="G79" s="4" t="s">
        <v>112</v>
      </c>
      <c r="H79" s="4" t="s">
        <v>123</v>
      </c>
      <c r="I79" s="9">
        <v>1482</v>
      </c>
      <c r="J79" s="9" t="s">
        <v>126</v>
      </c>
      <c r="K79" s="8">
        <v>45168</v>
      </c>
      <c r="L79" s="21">
        <v>1482</v>
      </c>
      <c r="M79" s="8"/>
      <c r="N79" s="21"/>
      <c r="O79" s="8"/>
      <c r="P79" s="21"/>
      <c r="Q79" s="8"/>
      <c r="R79" s="28"/>
    </row>
    <row r="80" spans="1:18">
      <c r="A80" s="1" t="s">
        <v>217</v>
      </c>
      <c r="B80" s="6" t="s">
        <v>57</v>
      </c>
      <c r="C80" s="7">
        <v>45498</v>
      </c>
      <c r="D80" s="25">
        <f t="shared" si="2"/>
        <v>7</v>
      </c>
      <c r="E80" s="25">
        <f t="shared" si="3"/>
        <v>2024</v>
      </c>
      <c r="F80" s="7" t="s">
        <v>106</v>
      </c>
      <c r="G80" s="4" t="s">
        <v>112</v>
      </c>
      <c r="H80" s="4" t="s">
        <v>122</v>
      </c>
      <c r="I80" s="9">
        <v>2313</v>
      </c>
      <c r="J80" s="9" t="s">
        <v>126</v>
      </c>
      <c r="K80" s="8">
        <v>45499</v>
      </c>
      <c r="L80" s="21">
        <v>2313</v>
      </c>
      <c r="M80" s="8"/>
      <c r="N80" s="21"/>
      <c r="O80" s="8"/>
      <c r="P80" s="21"/>
      <c r="Q80" s="8"/>
      <c r="R80" s="28"/>
    </row>
    <row r="81" spans="1:18">
      <c r="A81" s="1" t="s">
        <v>218</v>
      </c>
      <c r="B81" s="6" t="s">
        <v>48</v>
      </c>
      <c r="C81" s="7">
        <v>45262</v>
      </c>
      <c r="D81" s="25">
        <f t="shared" si="2"/>
        <v>12</v>
      </c>
      <c r="E81" s="25">
        <f t="shared" si="3"/>
        <v>2023</v>
      </c>
      <c r="F81" s="7" t="s">
        <v>97</v>
      </c>
      <c r="G81" s="4" t="s">
        <v>112</v>
      </c>
      <c r="H81" s="4" t="s">
        <v>123</v>
      </c>
      <c r="I81" s="9">
        <v>997</v>
      </c>
      <c r="J81" s="9" t="s">
        <v>126</v>
      </c>
      <c r="K81" s="8">
        <v>45263</v>
      </c>
      <c r="L81" s="21">
        <v>997</v>
      </c>
      <c r="M81" s="8"/>
      <c r="N81" s="21"/>
      <c r="O81" s="8"/>
      <c r="P81" s="21"/>
      <c r="Q81" s="8"/>
      <c r="R81" s="28"/>
    </row>
    <row r="82" spans="1:18">
      <c r="A82" s="1" t="s">
        <v>219</v>
      </c>
      <c r="B82" s="6" t="s">
        <v>37</v>
      </c>
      <c r="C82" s="7">
        <v>45461</v>
      </c>
      <c r="D82" s="25">
        <f t="shared" si="2"/>
        <v>6</v>
      </c>
      <c r="E82" s="25">
        <f t="shared" si="3"/>
        <v>2024</v>
      </c>
      <c r="F82" s="7" t="s">
        <v>86</v>
      </c>
      <c r="G82" s="4" t="s">
        <v>112</v>
      </c>
      <c r="H82" s="4" t="s">
        <v>123</v>
      </c>
      <c r="I82" s="9">
        <v>6409</v>
      </c>
      <c r="J82" s="9" t="s">
        <v>126</v>
      </c>
      <c r="K82" s="8">
        <v>45462</v>
      </c>
      <c r="L82" s="21">
        <v>6409</v>
      </c>
      <c r="M82" s="8"/>
      <c r="N82" s="21"/>
      <c r="O82" s="8"/>
      <c r="P82" s="21"/>
      <c r="Q82" s="8"/>
      <c r="R82" s="28"/>
    </row>
    <row r="83" spans="1:18">
      <c r="A83" s="1" t="s">
        <v>220</v>
      </c>
      <c r="B83" s="6" t="s">
        <v>24</v>
      </c>
      <c r="C83" s="7">
        <v>45187</v>
      </c>
      <c r="D83" s="25">
        <f t="shared" si="2"/>
        <v>9</v>
      </c>
      <c r="E83" s="25">
        <f t="shared" si="3"/>
        <v>2023</v>
      </c>
      <c r="F83" s="7" t="s">
        <v>73</v>
      </c>
      <c r="G83" s="4" t="s">
        <v>112</v>
      </c>
      <c r="H83" s="4" t="s">
        <v>122</v>
      </c>
      <c r="I83" s="9">
        <v>9435</v>
      </c>
      <c r="J83" s="9" t="s">
        <v>126</v>
      </c>
      <c r="K83" s="8">
        <v>45188</v>
      </c>
      <c r="L83" s="21">
        <v>9435</v>
      </c>
      <c r="M83" s="8"/>
      <c r="N83" s="21"/>
      <c r="O83" s="8"/>
      <c r="P83" s="21"/>
      <c r="Q83" s="8"/>
      <c r="R83" s="28"/>
    </row>
    <row r="84" spans="1:18">
      <c r="A84" s="1" t="s">
        <v>221</v>
      </c>
      <c r="B84" s="6" t="s">
        <v>14</v>
      </c>
      <c r="C84" s="7">
        <v>45172</v>
      </c>
      <c r="D84" s="25">
        <f t="shared" si="2"/>
        <v>9</v>
      </c>
      <c r="E84" s="25">
        <f t="shared" si="3"/>
        <v>2023</v>
      </c>
      <c r="F84" s="7" t="s">
        <v>61</v>
      </c>
      <c r="G84" s="4" t="s">
        <v>110</v>
      </c>
      <c r="H84" s="4" t="s">
        <v>113</v>
      </c>
      <c r="I84" s="9">
        <v>9657</v>
      </c>
      <c r="J84" s="9" t="s">
        <v>137</v>
      </c>
      <c r="K84" s="8">
        <v>45173</v>
      </c>
      <c r="L84" s="21">
        <v>3219</v>
      </c>
      <c r="M84" s="8">
        <v>45202</v>
      </c>
      <c r="N84" s="21">
        <v>3219</v>
      </c>
      <c r="O84" s="8">
        <v>45217</v>
      </c>
      <c r="P84" s="21">
        <v>3219</v>
      </c>
      <c r="Q84" s="8"/>
      <c r="R84" s="28"/>
    </row>
    <row r="85" spans="1:18">
      <c r="A85" s="1" t="s">
        <v>222</v>
      </c>
      <c r="B85" s="6" t="s">
        <v>56</v>
      </c>
      <c r="C85" s="7">
        <v>45443</v>
      </c>
      <c r="D85" s="25">
        <f t="shared" si="2"/>
        <v>5</v>
      </c>
      <c r="E85" s="25">
        <f t="shared" si="3"/>
        <v>2024</v>
      </c>
      <c r="F85" s="7" t="s">
        <v>105</v>
      </c>
      <c r="G85" s="4" t="s">
        <v>110</v>
      </c>
      <c r="H85" s="4" t="s">
        <v>113</v>
      </c>
      <c r="I85" s="9">
        <v>2139</v>
      </c>
      <c r="J85" s="9" t="s">
        <v>138</v>
      </c>
      <c r="K85" s="8">
        <v>45444</v>
      </c>
      <c r="L85" s="21">
        <v>1069.5</v>
      </c>
      <c r="M85" s="8">
        <v>45473</v>
      </c>
      <c r="N85" s="21">
        <v>1069.5</v>
      </c>
      <c r="O85" s="8"/>
      <c r="P85" s="21"/>
      <c r="Q85" s="8"/>
      <c r="R85" s="28"/>
    </row>
    <row r="86" spans="1:18">
      <c r="A86" s="1" t="s">
        <v>223</v>
      </c>
      <c r="B86" s="6" t="s">
        <v>13</v>
      </c>
      <c r="C86" s="7">
        <v>45253</v>
      </c>
      <c r="D86" s="25">
        <f t="shared" si="2"/>
        <v>11</v>
      </c>
      <c r="E86" s="25">
        <f t="shared" si="3"/>
        <v>2023</v>
      </c>
      <c r="F86" s="7" t="s">
        <v>63</v>
      </c>
      <c r="G86" s="4" t="s">
        <v>111</v>
      </c>
      <c r="H86" s="4" t="s">
        <v>120</v>
      </c>
      <c r="I86" s="9">
        <v>5262</v>
      </c>
      <c r="J86" s="9" t="s">
        <v>126</v>
      </c>
      <c r="K86" s="8">
        <v>45254</v>
      </c>
      <c r="L86" s="21">
        <v>5262</v>
      </c>
      <c r="M86" s="8"/>
      <c r="N86" s="21"/>
      <c r="O86" s="8"/>
      <c r="P86" s="21"/>
      <c r="Q86" s="8"/>
      <c r="R86" s="28"/>
    </row>
    <row r="87" spans="1:18">
      <c r="A87" s="1" t="s">
        <v>224</v>
      </c>
      <c r="B87" s="6" t="s">
        <v>18</v>
      </c>
      <c r="C87" s="7">
        <v>45273</v>
      </c>
      <c r="D87" s="25">
        <f t="shared" si="2"/>
        <v>12</v>
      </c>
      <c r="E87" s="25">
        <f t="shared" si="3"/>
        <v>2023</v>
      </c>
      <c r="F87" s="7" t="s">
        <v>67</v>
      </c>
      <c r="G87" s="4" t="s">
        <v>111</v>
      </c>
      <c r="H87" s="4" t="s">
        <v>121</v>
      </c>
      <c r="I87" s="9">
        <v>7294</v>
      </c>
      <c r="J87" s="9" t="s">
        <v>138</v>
      </c>
      <c r="K87" s="8">
        <v>45274</v>
      </c>
      <c r="L87" s="21">
        <v>3647</v>
      </c>
      <c r="M87" s="8">
        <v>45303</v>
      </c>
      <c r="N87" s="21">
        <v>3647</v>
      </c>
      <c r="O87" s="8"/>
      <c r="P87" s="21"/>
      <c r="Q87" s="8"/>
      <c r="R87" s="28"/>
    </row>
    <row r="88" spans="1:18">
      <c r="A88" s="1" t="s">
        <v>225</v>
      </c>
      <c r="B88" s="6" t="s">
        <v>43</v>
      </c>
      <c r="C88" s="7">
        <v>45442</v>
      </c>
      <c r="D88" s="25">
        <f t="shared" si="2"/>
        <v>5</v>
      </c>
      <c r="E88" s="25">
        <f t="shared" si="3"/>
        <v>2024</v>
      </c>
      <c r="F88" s="7" t="s">
        <v>92</v>
      </c>
      <c r="G88" s="4" t="s">
        <v>110</v>
      </c>
      <c r="H88" s="4" t="s">
        <v>124</v>
      </c>
      <c r="I88" s="9">
        <v>8906</v>
      </c>
      <c r="J88" s="9" t="s">
        <v>138</v>
      </c>
      <c r="K88" s="8">
        <v>45443</v>
      </c>
      <c r="L88" s="21">
        <v>4453</v>
      </c>
      <c r="M88" s="8">
        <v>45472</v>
      </c>
      <c r="N88" s="21">
        <v>4453</v>
      </c>
      <c r="O88" s="8"/>
      <c r="P88" s="21"/>
      <c r="Q88" s="8"/>
      <c r="R88" s="28"/>
    </row>
    <row r="89" spans="1:18">
      <c r="A89" s="1" t="s">
        <v>226</v>
      </c>
      <c r="B89" s="6" t="s">
        <v>39</v>
      </c>
      <c r="C89" s="7">
        <v>45397</v>
      </c>
      <c r="D89" s="25">
        <f t="shared" si="2"/>
        <v>4</v>
      </c>
      <c r="E89" s="25">
        <f t="shared" si="3"/>
        <v>2024</v>
      </c>
      <c r="F89" s="7" t="s">
        <v>88</v>
      </c>
      <c r="G89" s="4" t="s">
        <v>110</v>
      </c>
      <c r="H89" s="4" t="s">
        <v>114</v>
      </c>
      <c r="I89" s="9">
        <v>3965</v>
      </c>
      <c r="J89" s="9" t="s">
        <v>136</v>
      </c>
      <c r="K89" s="8">
        <v>45398</v>
      </c>
      <c r="L89" s="21">
        <v>991.25</v>
      </c>
      <c r="M89" s="8">
        <v>45427</v>
      </c>
      <c r="N89" s="21">
        <v>991.25</v>
      </c>
      <c r="O89" s="8">
        <v>45442</v>
      </c>
      <c r="P89" s="21">
        <v>991.25</v>
      </c>
      <c r="Q89" s="8">
        <v>45457</v>
      </c>
      <c r="R89" s="28">
        <v>991.25</v>
      </c>
    </row>
    <row r="90" spans="1:18">
      <c r="A90" s="1" t="s">
        <v>227</v>
      </c>
      <c r="B90" s="6" t="s">
        <v>57</v>
      </c>
      <c r="C90" s="7">
        <v>45309</v>
      </c>
      <c r="D90" s="25">
        <f t="shared" si="2"/>
        <v>1</v>
      </c>
      <c r="E90" s="25">
        <f t="shared" si="3"/>
        <v>2024</v>
      </c>
      <c r="F90" s="7" t="s">
        <v>106</v>
      </c>
      <c r="G90" s="4" t="s">
        <v>112</v>
      </c>
      <c r="H90" s="4" t="s">
        <v>122</v>
      </c>
      <c r="I90" s="9">
        <v>7082</v>
      </c>
      <c r="J90" s="9" t="s">
        <v>126</v>
      </c>
      <c r="K90" s="8">
        <v>45310</v>
      </c>
      <c r="L90" s="21">
        <v>7082</v>
      </c>
      <c r="M90" s="8"/>
      <c r="N90" s="21"/>
      <c r="O90" s="8"/>
      <c r="P90" s="21"/>
      <c r="Q90" s="8"/>
      <c r="R90" s="28"/>
    </row>
    <row r="91" spans="1:18">
      <c r="A91" s="1" t="s">
        <v>228</v>
      </c>
      <c r="B91" s="6" t="s">
        <v>57</v>
      </c>
      <c r="C91" s="7">
        <v>45391</v>
      </c>
      <c r="D91" s="25">
        <f t="shared" si="2"/>
        <v>4</v>
      </c>
      <c r="E91" s="25">
        <f t="shared" si="3"/>
        <v>2024</v>
      </c>
      <c r="F91" s="7" t="s">
        <v>106</v>
      </c>
      <c r="G91" s="4" t="s">
        <v>112</v>
      </c>
      <c r="H91" s="4" t="s">
        <v>122</v>
      </c>
      <c r="I91" s="9">
        <v>2490</v>
      </c>
      <c r="J91" s="9" t="s">
        <v>126</v>
      </c>
      <c r="K91" s="8">
        <v>45392</v>
      </c>
      <c r="L91" s="21">
        <v>2490</v>
      </c>
      <c r="M91" s="8"/>
      <c r="N91" s="21"/>
      <c r="O91" s="8"/>
      <c r="P91" s="21"/>
      <c r="Q91" s="8"/>
      <c r="R91" s="28"/>
    </row>
    <row r="92" spans="1:18">
      <c r="A92" s="1" t="s">
        <v>229</v>
      </c>
      <c r="B92" s="6" t="s">
        <v>37</v>
      </c>
      <c r="C92" s="7">
        <v>45435</v>
      </c>
      <c r="D92" s="25">
        <f t="shared" si="2"/>
        <v>5</v>
      </c>
      <c r="E92" s="25">
        <f t="shared" si="3"/>
        <v>2024</v>
      </c>
      <c r="F92" s="7" t="s">
        <v>86</v>
      </c>
      <c r="G92" s="4" t="s">
        <v>112</v>
      </c>
      <c r="H92" s="4" t="s">
        <v>123</v>
      </c>
      <c r="I92" s="9">
        <v>7198</v>
      </c>
      <c r="J92" s="9" t="s">
        <v>126</v>
      </c>
      <c r="K92" s="8">
        <v>45436</v>
      </c>
      <c r="L92" s="21">
        <v>7198</v>
      </c>
      <c r="M92" s="8"/>
      <c r="N92" s="21"/>
      <c r="O92" s="8"/>
      <c r="P92" s="21"/>
      <c r="Q92" s="8"/>
      <c r="R92" s="28"/>
    </row>
    <row r="93" spans="1:18">
      <c r="A93" s="1" t="s">
        <v>230</v>
      </c>
      <c r="B93" s="6" t="s">
        <v>14</v>
      </c>
      <c r="C93" s="7">
        <v>45207</v>
      </c>
      <c r="D93" s="25">
        <f t="shared" si="2"/>
        <v>10</v>
      </c>
      <c r="E93" s="25">
        <f t="shared" si="3"/>
        <v>2023</v>
      </c>
      <c r="F93" s="7" t="s">
        <v>61</v>
      </c>
      <c r="G93" s="4" t="s">
        <v>110</v>
      </c>
      <c r="H93" s="4" t="s">
        <v>113</v>
      </c>
      <c r="I93" s="9">
        <v>9350</v>
      </c>
      <c r="J93" s="9" t="s">
        <v>136</v>
      </c>
      <c r="K93" s="8">
        <v>45208</v>
      </c>
      <c r="L93" s="21">
        <v>2337.5</v>
      </c>
      <c r="M93" s="8">
        <v>45237</v>
      </c>
      <c r="N93" s="21">
        <v>2337.5</v>
      </c>
      <c r="O93" s="8">
        <v>45252</v>
      </c>
      <c r="P93" s="21">
        <v>2337.5</v>
      </c>
      <c r="Q93" s="8">
        <v>45267</v>
      </c>
      <c r="R93" s="28">
        <v>2337.5</v>
      </c>
    </row>
    <row r="94" spans="1:18">
      <c r="A94" s="1" t="s">
        <v>231</v>
      </c>
      <c r="B94" s="6" t="s">
        <v>19</v>
      </c>
      <c r="C94" s="7">
        <v>45192</v>
      </c>
      <c r="D94" s="25">
        <f t="shared" si="2"/>
        <v>9</v>
      </c>
      <c r="E94" s="25">
        <f t="shared" si="3"/>
        <v>2023</v>
      </c>
      <c r="F94" s="7" t="s">
        <v>68</v>
      </c>
      <c r="G94" s="4" t="s">
        <v>111</v>
      </c>
      <c r="H94" s="4" t="s">
        <v>118</v>
      </c>
      <c r="I94" s="9">
        <v>7961</v>
      </c>
      <c r="J94" s="9" t="s">
        <v>137</v>
      </c>
      <c r="K94" s="8">
        <v>45193</v>
      </c>
      <c r="L94" s="21">
        <v>2653.6666666666665</v>
      </c>
      <c r="M94" s="8">
        <v>45222</v>
      </c>
      <c r="N94" s="21">
        <v>2653.6666666666665</v>
      </c>
      <c r="O94" s="8">
        <v>45237</v>
      </c>
      <c r="P94" s="21">
        <v>2653.6666666666665</v>
      </c>
      <c r="Q94" s="8"/>
      <c r="R94" s="28"/>
    </row>
    <row r="95" spans="1:18">
      <c r="A95" s="1" t="s">
        <v>232</v>
      </c>
      <c r="B95" s="6" t="s">
        <v>38</v>
      </c>
      <c r="C95" s="7">
        <v>45213</v>
      </c>
      <c r="D95" s="25">
        <f t="shared" si="2"/>
        <v>10</v>
      </c>
      <c r="E95" s="25">
        <f t="shared" si="3"/>
        <v>2023</v>
      </c>
      <c r="F95" s="7" t="s">
        <v>87</v>
      </c>
      <c r="G95" s="4" t="s">
        <v>110</v>
      </c>
      <c r="H95" s="4" t="s">
        <v>125</v>
      </c>
      <c r="I95" s="9">
        <v>2627</v>
      </c>
      <c r="J95" s="9" t="s">
        <v>126</v>
      </c>
      <c r="K95" s="8">
        <v>45214</v>
      </c>
      <c r="L95" s="21">
        <v>2627</v>
      </c>
      <c r="M95" s="8"/>
      <c r="N95" s="21"/>
      <c r="O95" s="8"/>
      <c r="P95" s="21"/>
      <c r="Q95" s="8"/>
      <c r="R95" s="28"/>
    </row>
    <row r="96" spans="1:18">
      <c r="A96" s="1" t="s">
        <v>233</v>
      </c>
      <c r="B96" s="6" t="s">
        <v>15</v>
      </c>
      <c r="C96" s="7">
        <v>45153</v>
      </c>
      <c r="D96" s="25">
        <f t="shared" si="2"/>
        <v>8</v>
      </c>
      <c r="E96" s="25">
        <f t="shared" si="3"/>
        <v>2023</v>
      </c>
      <c r="F96" s="7" t="s">
        <v>64</v>
      </c>
      <c r="G96" s="4" t="s">
        <v>112</v>
      </c>
      <c r="H96" s="4" t="s">
        <v>123</v>
      </c>
      <c r="I96" s="9">
        <v>7220</v>
      </c>
      <c r="J96" s="9" t="s">
        <v>126</v>
      </c>
      <c r="K96" s="8">
        <v>45154</v>
      </c>
      <c r="L96" s="21">
        <v>7220</v>
      </c>
      <c r="M96" s="8"/>
      <c r="N96" s="21"/>
      <c r="O96" s="8"/>
      <c r="P96" s="21"/>
      <c r="Q96" s="8"/>
      <c r="R96" s="28"/>
    </row>
    <row r="97" spans="1:18">
      <c r="A97" s="1" t="s">
        <v>234</v>
      </c>
      <c r="B97" s="6" t="s">
        <v>27</v>
      </c>
      <c r="C97" s="7">
        <v>45204</v>
      </c>
      <c r="D97" s="25">
        <f t="shared" si="2"/>
        <v>10</v>
      </c>
      <c r="E97" s="25">
        <f t="shared" si="3"/>
        <v>2023</v>
      </c>
      <c r="F97" s="7" t="s">
        <v>76</v>
      </c>
      <c r="G97" s="4" t="s">
        <v>110</v>
      </c>
      <c r="H97" s="4" t="s">
        <v>125</v>
      </c>
      <c r="I97" s="9">
        <v>9017</v>
      </c>
      <c r="J97" s="9" t="s">
        <v>138</v>
      </c>
      <c r="K97" s="8">
        <v>45205</v>
      </c>
      <c r="L97" s="21">
        <v>4508.5</v>
      </c>
      <c r="M97" s="8">
        <v>45234</v>
      </c>
      <c r="N97" s="21">
        <v>4508.5</v>
      </c>
      <c r="O97" s="8"/>
      <c r="P97" s="21"/>
      <c r="Q97" s="8"/>
      <c r="R97" s="28"/>
    </row>
    <row r="98" spans="1:18">
      <c r="A98" s="1" t="s">
        <v>235</v>
      </c>
      <c r="B98" s="6" t="s">
        <v>34</v>
      </c>
      <c r="C98" s="7">
        <v>45319</v>
      </c>
      <c r="D98" s="25">
        <f t="shared" si="2"/>
        <v>1</v>
      </c>
      <c r="E98" s="25">
        <f t="shared" si="3"/>
        <v>2024</v>
      </c>
      <c r="F98" s="7" t="s">
        <v>83</v>
      </c>
      <c r="G98" s="4" t="s">
        <v>110</v>
      </c>
      <c r="H98" s="4" t="s">
        <v>113</v>
      </c>
      <c r="I98" s="9">
        <v>1543</v>
      </c>
      <c r="J98" s="9" t="s">
        <v>136</v>
      </c>
      <c r="K98" s="8">
        <v>45320</v>
      </c>
      <c r="L98" s="21">
        <v>385.75</v>
      </c>
      <c r="M98" s="8">
        <v>45349</v>
      </c>
      <c r="N98" s="21">
        <v>385.75</v>
      </c>
      <c r="O98" s="8">
        <v>45364</v>
      </c>
      <c r="P98" s="21">
        <v>385.75</v>
      </c>
      <c r="Q98" s="8">
        <v>45379</v>
      </c>
      <c r="R98" s="28">
        <v>385.75</v>
      </c>
    </row>
    <row r="99" spans="1:18">
      <c r="A99" s="1" t="s">
        <v>236</v>
      </c>
      <c r="B99" s="6" t="s">
        <v>19</v>
      </c>
      <c r="C99" s="7">
        <v>45115</v>
      </c>
      <c r="D99" s="25">
        <f t="shared" si="2"/>
        <v>7</v>
      </c>
      <c r="E99" s="25">
        <f t="shared" si="3"/>
        <v>2023</v>
      </c>
      <c r="F99" s="7" t="s">
        <v>68</v>
      </c>
      <c r="G99" s="4" t="s">
        <v>111</v>
      </c>
      <c r="H99" s="4" t="s">
        <v>118</v>
      </c>
      <c r="I99" s="9">
        <v>6512</v>
      </c>
      <c r="J99" s="9" t="s">
        <v>126</v>
      </c>
      <c r="K99" s="8">
        <v>45116</v>
      </c>
      <c r="L99" s="21">
        <v>6512</v>
      </c>
      <c r="M99" s="8"/>
      <c r="N99" s="21"/>
      <c r="O99" s="8"/>
      <c r="P99" s="21"/>
      <c r="Q99" s="8"/>
      <c r="R99" s="28"/>
    </row>
    <row r="100" spans="1:18">
      <c r="A100" s="1" t="s">
        <v>237</v>
      </c>
      <c r="B100" s="6" t="s">
        <v>18</v>
      </c>
      <c r="C100" s="7">
        <v>45276</v>
      </c>
      <c r="D100" s="25">
        <f t="shared" si="2"/>
        <v>12</v>
      </c>
      <c r="E100" s="25">
        <f t="shared" si="3"/>
        <v>2023</v>
      </c>
      <c r="F100" s="7" t="s">
        <v>67</v>
      </c>
      <c r="G100" s="4" t="s">
        <v>111</v>
      </c>
      <c r="H100" s="4" t="s">
        <v>121</v>
      </c>
      <c r="I100" s="9">
        <v>6491</v>
      </c>
      <c r="J100" s="9" t="s">
        <v>137</v>
      </c>
      <c r="K100" s="8">
        <v>45277</v>
      </c>
      <c r="L100" s="21">
        <v>2163.6666666666665</v>
      </c>
      <c r="M100" s="8">
        <v>45306</v>
      </c>
      <c r="N100" s="21">
        <v>2163.6666666666665</v>
      </c>
      <c r="O100" s="8">
        <v>45321</v>
      </c>
      <c r="P100" s="21">
        <v>2163.6666666666665</v>
      </c>
      <c r="Q100" s="8"/>
      <c r="R100" s="28"/>
    </row>
    <row r="101" spans="1:18">
      <c r="A101" s="1" t="s">
        <v>238</v>
      </c>
      <c r="B101" s="6" t="s">
        <v>21</v>
      </c>
      <c r="C101" s="7">
        <v>45063</v>
      </c>
      <c r="D101" s="25">
        <f t="shared" si="2"/>
        <v>5</v>
      </c>
      <c r="E101" s="25">
        <f t="shared" si="3"/>
        <v>2023</v>
      </c>
      <c r="F101" s="7" t="s">
        <v>70</v>
      </c>
      <c r="G101" s="4" t="s">
        <v>110</v>
      </c>
      <c r="H101" s="4" t="s">
        <v>124</v>
      </c>
      <c r="I101" s="9">
        <v>9466</v>
      </c>
      <c r="J101" s="9" t="s">
        <v>137</v>
      </c>
      <c r="K101" s="8">
        <v>45064</v>
      </c>
      <c r="L101" s="21">
        <v>3155.3333333333335</v>
      </c>
      <c r="M101" s="8">
        <v>45093</v>
      </c>
      <c r="N101" s="21">
        <v>3155.3333333333335</v>
      </c>
      <c r="O101" s="8">
        <v>45108</v>
      </c>
      <c r="P101" s="21">
        <v>3155.3333333333335</v>
      </c>
      <c r="Q101" s="8"/>
      <c r="R101" s="28"/>
    </row>
    <row r="102" spans="1:18">
      <c r="A102" s="1" t="s">
        <v>239</v>
      </c>
      <c r="B102" s="6" t="s">
        <v>48</v>
      </c>
      <c r="C102" s="7">
        <v>45429</v>
      </c>
      <c r="D102" s="25">
        <f t="shared" si="2"/>
        <v>5</v>
      </c>
      <c r="E102" s="25">
        <f t="shared" si="3"/>
        <v>2024</v>
      </c>
      <c r="F102" s="7" t="s">
        <v>97</v>
      </c>
      <c r="G102" s="4" t="s">
        <v>112</v>
      </c>
      <c r="H102" s="4" t="s">
        <v>123</v>
      </c>
      <c r="I102" s="9">
        <v>8631</v>
      </c>
      <c r="J102" s="9" t="s">
        <v>126</v>
      </c>
      <c r="K102" s="8">
        <v>45430</v>
      </c>
      <c r="L102" s="21">
        <v>8631</v>
      </c>
      <c r="M102" s="8"/>
      <c r="N102" s="21"/>
      <c r="O102" s="8"/>
      <c r="P102" s="21"/>
      <c r="Q102" s="8"/>
      <c r="R102" s="28"/>
    </row>
    <row r="103" spans="1:18">
      <c r="A103" s="1" t="s">
        <v>240</v>
      </c>
      <c r="B103" s="6" t="s">
        <v>28</v>
      </c>
      <c r="C103" s="7">
        <v>45161</v>
      </c>
      <c r="D103" s="25">
        <f t="shared" si="2"/>
        <v>8</v>
      </c>
      <c r="E103" s="25">
        <f t="shared" si="3"/>
        <v>2023</v>
      </c>
      <c r="F103" s="7" t="s">
        <v>77</v>
      </c>
      <c r="G103" s="4" t="s">
        <v>110</v>
      </c>
      <c r="H103" s="4" t="s">
        <v>114</v>
      </c>
      <c r="I103" s="9">
        <v>2326</v>
      </c>
      <c r="J103" s="9" t="s">
        <v>138</v>
      </c>
      <c r="K103" s="8">
        <v>45162</v>
      </c>
      <c r="L103" s="21">
        <v>1163</v>
      </c>
      <c r="M103" s="8">
        <v>45191</v>
      </c>
      <c r="N103" s="21">
        <v>1163</v>
      </c>
      <c r="O103" s="8"/>
      <c r="P103" s="21"/>
      <c r="Q103" s="8"/>
      <c r="R103" s="28"/>
    </row>
    <row r="104" spans="1:18">
      <c r="A104" s="1" t="s">
        <v>241</v>
      </c>
      <c r="B104" s="6" t="s">
        <v>43</v>
      </c>
      <c r="C104" s="7">
        <v>45427</v>
      </c>
      <c r="D104" s="25">
        <f t="shared" si="2"/>
        <v>5</v>
      </c>
      <c r="E104" s="25">
        <f t="shared" si="3"/>
        <v>2024</v>
      </c>
      <c r="F104" s="7" t="s">
        <v>92</v>
      </c>
      <c r="G104" s="4" t="s">
        <v>110</v>
      </c>
      <c r="H104" s="4" t="s">
        <v>124</v>
      </c>
      <c r="I104" s="9">
        <v>1400</v>
      </c>
      <c r="J104" s="9" t="s">
        <v>136</v>
      </c>
      <c r="K104" s="8">
        <v>45428</v>
      </c>
      <c r="L104" s="21">
        <v>350</v>
      </c>
      <c r="M104" s="8">
        <v>45457</v>
      </c>
      <c r="N104" s="21">
        <v>350</v>
      </c>
      <c r="O104" s="8">
        <v>45472</v>
      </c>
      <c r="P104" s="21">
        <v>350</v>
      </c>
      <c r="Q104" s="8">
        <v>45487</v>
      </c>
      <c r="R104" s="28">
        <v>350</v>
      </c>
    </row>
    <row r="105" spans="1:18">
      <c r="A105" s="1" t="s">
        <v>242</v>
      </c>
      <c r="B105" s="6" t="s">
        <v>12</v>
      </c>
      <c r="C105" s="7">
        <v>45477</v>
      </c>
      <c r="D105" s="25">
        <f t="shared" si="2"/>
        <v>7</v>
      </c>
      <c r="E105" s="25">
        <f t="shared" si="3"/>
        <v>2024</v>
      </c>
      <c r="F105" s="7" t="s">
        <v>62</v>
      </c>
      <c r="G105" s="4" t="s">
        <v>112</v>
      </c>
      <c r="H105" s="4" t="s">
        <v>122</v>
      </c>
      <c r="I105" s="9">
        <v>4303</v>
      </c>
      <c r="J105" s="9" t="s">
        <v>126</v>
      </c>
      <c r="K105" s="8">
        <v>45478</v>
      </c>
      <c r="L105" s="21">
        <v>4303</v>
      </c>
      <c r="M105" s="8"/>
      <c r="N105" s="21"/>
      <c r="O105" s="8"/>
      <c r="P105" s="21"/>
      <c r="Q105" s="8"/>
      <c r="R105" s="28"/>
    </row>
    <row r="106" spans="1:18">
      <c r="A106" s="1" t="s">
        <v>243</v>
      </c>
      <c r="B106" s="6" t="s">
        <v>59</v>
      </c>
      <c r="C106" s="7">
        <v>45204</v>
      </c>
      <c r="D106" s="25">
        <f t="shared" si="2"/>
        <v>10</v>
      </c>
      <c r="E106" s="25">
        <f t="shared" si="3"/>
        <v>2023</v>
      </c>
      <c r="F106" s="7" t="s">
        <v>108</v>
      </c>
      <c r="G106" s="4" t="s">
        <v>111</v>
      </c>
      <c r="H106" s="4" t="s">
        <v>121</v>
      </c>
      <c r="I106" s="9">
        <v>2355</v>
      </c>
      <c r="J106" s="9" t="s">
        <v>126</v>
      </c>
      <c r="K106" s="8">
        <v>45205</v>
      </c>
      <c r="L106" s="21">
        <v>2355</v>
      </c>
      <c r="M106" s="8"/>
      <c r="N106" s="21"/>
      <c r="O106" s="8"/>
      <c r="P106" s="21"/>
      <c r="Q106" s="8"/>
      <c r="R106" s="28"/>
    </row>
    <row r="107" spans="1:18">
      <c r="A107" s="1" t="s">
        <v>244</v>
      </c>
      <c r="B107" s="6" t="s">
        <v>48</v>
      </c>
      <c r="C107" s="7">
        <v>45255</v>
      </c>
      <c r="D107" s="25">
        <f t="shared" si="2"/>
        <v>11</v>
      </c>
      <c r="E107" s="25">
        <f t="shared" si="3"/>
        <v>2023</v>
      </c>
      <c r="F107" s="7" t="s">
        <v>97</v>
      </c>
      <c r="G107" s="4" t="s">
        <v>112</v>
      </c>
      <c r="H107" s="4" t="s">
        <v>123</v>
      </c>
      <c r="I107" s="9">
        <v>701</v>
      </c>
      <c r="J107" s="9" t="s">
        <v>126</v>
      </c>
      <c r="K107" s="8">
        <v>45256</v>
      </c>
      <c r="L107" s="21">
        <v>701</v>
      </c>
      <c r="M107" s="8"/>
      <c r="N107" s="21"/>
      <c r="O107" s="8"/>
      <c r="P107" s="21"/>
      <c r="Q107" s="8"/>
      <c r="R107" s="28"/>
    </row>
    <row r="108" spans="1:18">
      <c r="A108" s="1" t="s">
        <v>245</v>
      </c>
      <c r="B108" s="6" t="s">
        <v>32</v>
      </c>
      <c r="C108" s="7">
        <v>45153</v>
      </c>
      <c r="D108" s="25">
        <f t="shared" si="2"/>
        <v>8</v>
      </c>
      <c r="E108" s="25">
        <f t="shared" si="3"/>
        <v>2023</v>
      </c>
      <c r="F108" s="7" t="s">
        <v>81</v>
      </c>
      <c r="G108" s="4" t="s">
        <v>110</v>
      </c>
      <c r="H108" s="4" t="s">
        <v>124</v>
      </c>
      <c r="I108" s="9">
        <v>950</v>
      </c>
      <c r="J108" s="9" t="s">
        <v>138</v>
      </c>
      <c r="K108" s="8">
        <v>45154</v>
      </c>
      <c r="L108" s="21">
        <v>475</v>
      </c>
      <c r="M108" s="8">
        <v>45183</v>
      </c>
      <c r="N108" s="21">
        <v>475</v>
      </c>
      <c r="O108" s="8"/>
      <c r="P108" s="21"/>
      <c r="Q108" s="8"/>
      <c r="R108" s="28"/>
    </row>
    <row r="109" spans="1:18">
      <c r="A109" s="1" t="s">
        <v>246</v>
      </c>
      <c r="B109" s="6" t="s">
        <v>54</v>
      </c>
      <c r="C109" s="7">
        <v>45302</v>
      </c>
      <c r="D109" s="25">
        <f t="shared" si="2"/>
        <v>1</v>
      </c>
      <c r="E109" s="25">
        <f t="shared" si="3"/>
        <v>2024</v>
      </c>
      <c r="F109" s="7" t="s">
        <v>103</v>
      </c>
      <c r="G109" s="4" t="s">
        <v>110</v>
      </c>
      <c r="H109" s="4" t="s">
        <v>124</v>
      </c>
      <c r="I109" s="9">
        <v>2406</v>
      </c>
      <c r="J109" s="9" t="s">
        <v>126</v>
      </c>
      <c r="K109" s="8">
        <v>45303</v>
      </c>
      <c r="L109" s="21">
        <v>2406</v>
      </c>
      <c r="M109" s="8"/>
      <c r="N109" s="21"/>
      <c r="O109" s="8"/>
      <c r="P109" s="21"/>
      <c r="Q109" s="8"/>
      <c r="R109" s="28"/>
    </row>
    <row r="110" spans="1:18">
      <c r="A110" s="1" t="s">
        <v>247</v>
      </c>
      <c r="B110" s="6" t="s">
        <v>30</v>
      </c>
      <c r="C110" s="7">
        <v>45268</v>
      </c>
      <c r="D110" s="25">
        <f t="shared" si="2"/>
        <v>12</v>
      </c>
      <c r="E110" s="25">
        <f t="shared" si="3"/>
        <v>2023</v>
      </c>
      <c r="F110" s="7" t="s">
        <v>79</v>
      </c>
      <c r="G110" s="4" t="s">
        <v>111</v>
      </c>
      <c r="H110" s="4" t="s">
        <v>118</v>
      </c>
      <c r="I110" s="9">
        <v>5721</v>
      </c>
      <c r="J110" s="9" t="s">
        <v>136</v>
      </c>
      <c r="K110" s="8">
        <v>45269</v>
      </c>
      <c r="L110" s="21">
        <v>1430.25</v>
      </c>
      <c r="M110" s="8">
        <v>45298</v>
      </c>
      <c r="N110" s="21">
        <v>1430.25</v>
      </c>
      <c r="O110" s="8">
        <v>45313</v>
      </c>
      <c r="P110" s="21">
        <v>1430.25</v>
      </c>
      <c r="Q110" s="8">
        <v>45328</v>
      </c>
      <c r="R110" s="28">
        <v>1430.25</v>
      </c>
    </row>
    <row r="111" spans="1:18">
      <c r="A111" s="1" t="s">
        <v>248</v>
      </c>
      <c r="B111" s="6" t="s">
        <v>42</v>
      </c>
      <c r="C111" s="7">
        <v>45270</v>
      </c>
      <c r="D111" s="25">
        <f t="shared" si="2"/>
        <v>12</v>
      </c>
      <c r="E111" s="25">
        <f t="shared" si="3"/>
        <v>2023</v>
      </c>
      <c r="F111" s="7" t="s">
        <v>91</v>
      </c>
      <c r="G111" s="4" t="s">
        <v>111</v>
      </c>
      <c r="H111" s="4" t="s">
        <v>117</v>
      </c>
      <c r="I111" s="9">
        <v>9351</v>
      </c>
      <c r="J111" s="9" t="s">
        <v>137</v>
      </c>
      <c r="K111" s="8">
        <v>45271</v>
      </c>
      <c r="L111" s="21">
        <v>3117</v>
      </c>
      <c r="M111" s="8">
        <v>45300</v>
      </c>
      <c r="N111" s="21">
        <v>3117</v>
      </c>
      <c r="O111" s="8">
        <v>45315</v>
      </c>
      <c r="P111" s="21">
        <v>3117</v>
      </c>
      <c r="Q111" s="8"/>
      <c r="R111" s="28"/>
    </row>
    <row r="112" spans="1:18">
      <c r="A112" s="1" t="s">
        <v>249</v>
      </c>
      <c r="B112" s="6" t="s">
        <v>36</v>
      </c>
      <c r="C112" s="7">
        <v>45393</v>
      </c>
      <c r="D112" s="25">
        <f t="shared" si="2"/>
        <v>4</v>
      </c>
      <c r="E112" s="25">
        <f t="shared" si="3"/>
        <v>2024</v>
      </c>
      <c r="F112" s="7" t="s">
        <v>85</v>
      </c>
      <c r="G112" s="4" t="s">
        <v>111</v>
      </c>
      <c r="H112" s="4" t="s">
        <v>120</v>
      </c>
      <c r="I112" s="9">
        <v>8439</v>
      </c>
      <c r="J112" s="9" t="s">
        <v>137</v>
      </c>
      <c r="K112" s="8">
        <v>45394</v>
      </c>
      <c r="L112" s="21">
        <v>2813</v>
      </c>
      <c r="M112" s="8">
        <v>45423</v>
      </c>
      <c r="N112" s="21">
        <v>2813</v>
      </c>
      <c r="O112" s="8">
        <v>45438</v>
      </c>
      <c r="P112" s="21">
        <v>2813</v>
      </c>
      <c r="Q112" s="8"/>
      <c r="R112" s="28"/>
    </row>
    <row r="113" spans="1:18">
      <c r="A113" s="1" t="s">
        <v>250</v>
      </c>
      <c r="B113" s="6" t="s">
        <v>29</v>
      </c>
      <c r="C113" s="7">
        <v>45038</v>
      </c>
      <c r="D113" s="25">
        <f t="shared" si="2"/>
        <v>4</v>
      </c>
      <c r="E113" s="25">
        <f t="shared" si="3"/>
        <v>2023</v>
      </c>
      <c r="F113" s="7" t="s">
        <v>78</v>
      </c>
      <c r="G113" s="4" t="s">
        <v>111</v>
      </c>
      <c r="H113" s="4" t="s">
        <v>121</v>
      </c>
      <c r="I113" s="9">
        <v>7019</v>
      </c>
      <c r="J113" s="9" t="s">
        <v>137</v>
      </c>
      <c r="K113" s="8">
        <v>45039</v>
      </c>
      <c r="L113" s="21">
        <v>2339.6666666666665</v>
      </c>
      <c r="M113" s="8">
        <v>45068</v>
      </c>
      <c r="N113" s="21">
        <v>2339.6666666666665</v>
      </c>
      <c r="O113" s="8">
        <v>45083</v>
      </c>
      <c r="P113" s="21">
        <v>2339.6666666666665</v>
      </c>
      <c r="Q113" s="8"/>
      <c r="R113" s="28"/>
    </row>
    <row r="114" spans="1:18">
      <c r="A114" s="1" t="s">
        <v>251</v>
      </c>
      <c r="B114" s="6" t="s">
        <v>41</v>
      </c>
      <c r="C114" s="7">
        <v>45155</v>
      </c>
      <c r="D114" s="25">
        <f t="shared" si="2"/>
        <v>8</v>
      </c>
      <c r="E114" s="25">
        <f t="shared" si="3"/>
        <v>2023</v>
      </c>
      <c r="F114" s="7" t="s">
        <v>90</v>
      </c>
      <c r="G114" s="4" t="s">
        <v>111</v>
      </c>
      <c r="H114" s="4" t="s">
        <v>118</v>
      </c>
      <c r="I114" s="9">
        <v>8047</v>
      </c>
      <c r="J114" s="9" t="s">
        <v>136</v>
      </c>
      <c r="K114" s="8">
        <v>45156</v>
      </c>
      <c r="L114" s="21">
        <v>2011.75</v>
      </c>
      <c r="M114" s="8">
        <v>45185</v>
      </c>
      <c r="N114" s="21">
        <v>2011.75</v>
      </c>
      <c r="O114" s="8">
        <v>45200</v>
      </c>
      <c r="P114" s="21">
        <v>2011.75</v>
      </c>
      <c r="Q114" s="8">
        <v>45215</v>
      </c>
      <c r="R114" s="28">
        <v>2011.75</v>
      </c>
    </row>
    <row r="115" spans="1:18">
      <c r="A115" s="1" t="s">
        <v>252</v>
      </c>
      <c r="B115" s="6" t="s">
        <v>45</v>
      </c>
      <c r="C115" s="7">
        <v>45173</v>
      </c>
      <c r="D115" s="25">
        <f t="shared" si="2"/>
        <v>9</v>
      </c>
      <c r="E115" s="25">
        <f t="shared" si="3"/>
        <v>2023</v>
      </c>
      <c r="F115" s="7" t="s">
        <v>94</v>
      </c>
      <c r="G115" s="4" t="s">
        <v>110</v>
      </c>
      <c r="H115" s="4" t="s">
        <v>113</v>
      </c>
      <c r="I115" s="9">
        <v>9568</v>
      </c>
      <c r="J115" s="9" t="s">
        <v>137</v>
      </c>
      <c r="K115" s="8">
        <v>45174</v>
      </c>
      <c r="L115" s="21">
        <v>3189.3333333333335</v>
      </c>
      <c r="M115" s="8">
        <v>45203</v>
      </c>
      <c r="N115" s="21">
        <v>3189.3333333333335</v>
      </c>
      <c r="O115" s="8">
        <v>45218</v>
      </c>
      <c r="P115" s="21">
        <v>3189.3333333333335</v>
      </c>
      <c r="Q115" s="8"/>
      <c r="R115" s="28"/>
    </row>
    <row r="116" spans="1:18">
      <c r="A116" s="1" t="s">
        <v>253</v>
      </c>
      <c r="B116" s="6" t="s">
        <v>23</v>
      </c>
      <c r="C116" s="7">
        <v>45210</v>
      </c>
      <c r="D116" s="25">
        <f t="shared" si="2"/>
        <v>10</v>
      </c>
      <c r="E116" s="25">
        <f t="shared" si="3"/>
        <v>2023</v>
      </c>
      <c r="F116" s="7" t="s">
        <v>72</v>
      </c>
      <c r="G116" s="4" t="s">
        <v>110</v>
      </c>
      <c r="H116" s="4" t="s">
        <v>113</v>
      </c>
      <c r="I116" s="9">
        <v>4355</v>
      </c>
      <c r="J116" s="9" t="s">
        <v>137</v>
      </c>
      <c r="K116" s="8">
        <v>45211</v>
      </c>
      <c r="L116" s="21">
        <v>1451.6666666666667</v>
      </c>
      <c r="M116" s="8">
        <v>45240</v>
      </c>
      <c r="N116" s="21">
        <v>1451.6666666666667</v>
      </c>
      <c r="O116" s="8">
        <v>45255</v>
      </c>
      <c r="P116" s="21">
        <v>1451.6666666666667</v>
      </c>
      <c r="Q116" s="8"/>
      <c r="R116" s="28"/>
    </row>
    <row r="117" spans="1:18">
      <c r="A117" s="1" t="s">
        <v>254</v>
      </c>
      <c r="B117" s="6" t="s">
        <v>52</v>
      </c>
      <c r="C117" s="7">
        <v>45238</v>
      </c>
      <c r="D117" s="25">
        <f t="shared" si="2"/>
        <v>11</v>
      </c>
      <c r="E117" s="25">
        <f t="shared" si="3"/>
        <v>2023</v>
      </c>
      <c r="F117" s="7" t="s">
        <v>101</v>
      </c>
      <c r="G117" s="4" t="s">
        <v>111</v>
      </c>
      <c r="H117" s="4" t="s">
        <v>118</v>
      </c>
      <c r="I117" s="9">
        <v>9168</v>
      </c>
      <c r="J117" s="9" t="s">
        <v>137</v>
      </c>
      <c r="K117" s="8">
        <v>45239</v>
      </c>
      <c r="L117" s="21">
        <v>3056</v>
      </c>
      <c r="M117" s="8">
        <v>45268</v>
      </c>
      <c r="N117" s="21">
        <v>3056</v>
      </c>
      <c r="O117" s="8">
        <v>45283</v>
      </c>
      <c r="P117" s="21">
        <v>3056</v>
      </c>
      <c r="Q117" s="8"/>
      <c r="R117" s="28"/>
    </row>
    <row r="118" spans="1:18">
      <c r="A118" s="1" t="s">
        <v>255</v>
      </c>
      <c r="B118" s="6" t="s">
        <v>53</v>
      </c>
      <c r="C118" s="7">
        <v>45421</v>
      </c>
      <c r="D118" s="25">
        <f t="shared" si="2"/>
        <v>5</v>
      </c>
      <c r="E118" s="25">
        <f t="shared" si="3"/>
        <v>2024</v>
      </c>
      <c r="F118" s="7" t="s">
        <v>102</v>
      </c>
      <c r="G118" s="4" t="s">
        <v>111</v>
      </c>
      <c r="H118" s="4" t="s">
        <v>117</v>
      </c>
      <c r="I118" s="9">
        <v>1151</v>
      </c>
      <c r="J118" s="9" t="s">
        <v>138</v>
      </c>
      <c r="K118" s="8">
        <v>45422</v>
      </c>
      <c r="L118" s="21">
        <v>575.5</v>
      </c>
      <c r="M118" s="8">
        <v>45451</v>
      </c>
      <c r="N118" s="21">
        <v>575.5</v>
      </c>
      <c r="O118" s="8"/>
      <c r="P118" s="21"/>
      <c r="Q118" s="8"/>
      <c r="R118" s="28"/>
    </row>
    <row r="119" spans="1:18">
      <c r="A119" s="1" t="s">
        <v>256</v>
      </c>
      <c r="B119" s="6" t="s">
        <v>46</v>
      </c>
      <c r="C119" s="7">
        <v>45536</v>
      </c>
      <c r="D119" s="25">
        <f t="shared" si="2"/>
        <v>9</v>
      </c>
      <c r="E119" s="25">
        <f t="shared" si="3"/>
        <v>2024</v>
      </c>
      <c r="F119" s="7" t="s">
        <v>95</v>
      </c>
      <c r="G119" s="4" t="s">
        <v>112</v>
      </c>
      <c r="H119" s="4" t="s">
        <v>122</v>
      </c>
      <c r="I119" s="9">
        <v>9981</v>
      </c>
      <c r="J119" s="9" t="s">
        <v>126</v>
      </c>
      <c r="K119" s="8">
        <v>45537</v>
      </c>
      <c r="L119" s="21">
        <v>9981</v>
      </c>
      <c r="M119" s="8"/>
      <c r="N119" s="21"/>
      <c r="O119" s="8"/>
      <c r="P119" s="21"/>
      <c r="Q119" s="8"/>
      <c r="R119" s="28"/>
    </row>
    <row r="120" spans="1:18">
      <c r="A120" s="1" t="s">
        <v>257</v>
      </c>
      <c r="B120" s="6" t="s">
        <v>19</v>
      </c>
      <c r="C120" s="7">
        <v>45143</v>
      </c>
      <c r="D120" s="25">
        <f t="shared" si="2"/>
        <v>8</v>
      </c>
      <c r="E120" s="25">
        <f t="shared" si="3"/>
        <v>2023</v>
      </c>
      <c r="F120" s="7" t="s">
        <v>68</v>
      </c>
      <c r="G120" s="4" t="s">
        <v>111</v>
      </c>
      <c r="H120" s="4" t="s">
        <v>118</v>
      </c>
      <c r="I120" s="9">
        <v>6993</v>
      </c>
      <c r="J120" s="9" t="s">
        <v>136</v>
      </c>
      <c r="K120" s="8">
        <v>45144</v>
      </c>
      <c r="L120" s="21">
        <v>1748.25</v>
      </c>
      <c r="M120" s="8">
        <v>45173</v>
      </c>
      <c r="N120" s="21">
        <v>1748.25</v>
      </c>
      <c r="O120" s="8">
        <v>45188</v>
      </c>
      <c r="P120" s="21">
        <v>1748.25</v>
      </c>
      <c r="Q120" s="8">
        <v>45203</v>
      </c>
      <c r="R120" s="28">
        <v>1748.25</v>
      </c>
    </row>
    <row r="121" spans="1:18">
      <c r="A121" s="1" t="s">
        <v>258</v>
      </c>
      <c r="B121" s="6" t="s">
        <v>31</v>
      </c>
      <c r="C121" s="7">
        <v>45314</v>
      </c>
      <c r="D121" s="25">
        <f t="shared" si="2"/>
        <v>1</v>
      </c>
      <c r="E121" s="25">
        <f t="shared" si="3"/>
        <v>2024</v>
      </c>
      <c r="F121" s="7" t="s">
        <v>80</v>
      </c>
      <c r="G121" s="4" t="s">
        <v>111</v>
      </c>
      <c r="H121" s="4" t="s">
        <v>117</v>
      </c>
      <c r="I121" s="9">
        <v>9724</v>
      </c>
      <c r="J121" s="9" t="s">
        <v>136</v>
      </c>
      <c r="K121" s="8">
        <v>45315</v>
      </c>
      <c r="L121" s="21">
        <v>2431</v>
      </c>
      <c r="M121" s="8">
        <v>45344</v>
      </c>
      <c r="N121" s="21">
        <v>2431</v>
      </c>
      <c r="O121" s="8">
        <v>45359</v>
      </c>
      <c r="P121" s="21">
        <v>2431</v>
      </c>
      <c r="Q121" s="8">
        <v>45374</v>
      </c>
      <c r="R121" s="28">
        <v>2431</v>
      </c>
    </row>
    <row r="122" spans="1:18">
      <c r="A122" s="1" t="s">
        <v>259</v>
      </c>
      <c r="B122" s="6" t="s">
        <v>31</v>
      </c>
      <c r="C122" s="7">
        <v>45342</v>
      </c>
      <c r="D122" s="25">
        <f t="shared" si="2"/>
        <v>2</v>
      </c>
      <c r="E122" s="25">
        <f t="shared" si="3"/>
        <v>2024</v>
      </c>
      <c r="F122" s="7" t="s">
        <v>80</v>
      </c>
      <c r="G122" s="4" t="s">
        <v>111</v>
      </c>
      <c r="H122" s="4" t="s">
        <v>117</v>
      </c>
      <c r="I122" s="9">
        <v>9125</v>
      </c>
      <c r="J122" s="9" t="s">
        <v>138</v>
      </c>
      <c r="K122" s="8">
        <v>45343</v>
      </c>
      <c r="L122" s="21">
        <v>4562.5</v>
      </c>
      <c r="M122" s="8">
        <v>45372</v>
      </c>
      <c r="N122" s="21">
        <v>4562.5</v>
      </c>
      <c r="O122" s="8"/>
      <c r="P122" s="21"/>
      <c r="Q122" s="8"/>
      <c r="R122" s="28"/>
    </row>
    <row r="123" spans="1:18">
      <c r="A123" s="1" t="s">
        <v>260</v>
      </c>
      <c r="B123" s="6" t="s">
        <v>36</v>
      </c>
      <c r="C123" s="7">
        <v>45328</v>
      </c>
      <c r="D123" s="25">
        <f t="shared" si="2"/>
        <v>2</v>
      </c>
      <c r="E123" s="25">
        <f t="shared" si="3"/>
        <v>2024</v>
      </c>
      <c r="F123" s="7" t="s">
        <v>85</v>
      </c>
      <c r="G123" s="4" t="s">
        <v>111</v>
      </c>
      <c r="H123" s="4" t="s">
        <v>120</v>
      </c>
      <c r="I123" s="9">
        <v>4627</v>
      </c>
      <c r="J123" s="9" t="s">
        <v>138</v>
      </c>
      <c r="K123" s="8">
        <v>45329</v>
      </c>
      <c r="L123" s="21">
        <v>2313.5</v>
      </c>
      <c r="M123" s="8">
        <v>45358</v>
      </c>
      <c r="N123" s="21">
        <v>2313.5</v>
      </c>
      <c r="O123" s="8"/>
      <c r="P123" s="21"/>
      <c r="Q123" s="8"/>
      <c r="R123" s="28"/>
    </row>
    <row r="124" spans="1:18">
      <c r="A124" s="1" t="s">
        <v>261</v>
      </c>
      <c r="B124" s="6" t="s">
        <v>55</v>
      </c>
      <c r="C124" s="7">
        <v>45144</v>
      </c>
      <c r="D124" s="25">
        <f t="shared" si="2"/>
        <v>8</v>
      </c>
      <c r="E124" s="25">
        <f t="shared" si="3"/>
        <v>2023</v>
      </c>
      <c r="F124" s="7" t="s">
        <v>104</v>
      </c>
      <c r="G124" s="4" t="s">
        <v>111</v>
      </c>
      <c r="H124" s="4" t="s">
        <v>119</v>
      </c>
      <c r="I124" s="9">
        <v>7757</v>
      </c>
      <c r="J124" s="9" t="s">
        <v>137</v>
      </c>
      <c r="K124" s="8">
        <v>45145</v>
      </c>
      <c r="L124" s="21">
        <v>2585.6666666666665</v>
      </c>
      <c r="M124" s="8">
        <v>45174</v>
      </c>
      <c r="N124" s="21">
        <v>2585.6666666666665</v>
      </c>
      <c r="O124" s="8">
        <v>45189</v>
      </c>
      <c r="P124" s="21">
        <v>2585.6666666666665</v>
      </c>
      <c r="Q124" s="8"/>
      <c r="R124" s="28"/>
    </row>
    <row r="125" spans="1:18">
      <c r="A125" s="1" t="s">
        <v>262</v>
      </c>
      <c r="B125" s="6" t="s">
        <v>29</v>
      </c>
      <c r="C125" s="7">
        <v>45246</v>
      </c>
      <c r="D125" s="25">
        <f t="shared" si="2"/>
        <v>11</v>
      </c>
      <c r="E125" s="25">
        <f t="shared" si="3"/>
        <v>2023</v>
      </c>
      <c r="F125" s="7" t="s">
        <v>78</v>
      </c>
      <c r="G125" s="4" t="s">
        <v>111</v>
      </c>
      <c r="H125" s="4" t="s">
        <v>121</v>
      </c>
      <c r="I125" s="9">
        <v>8321</v>
      </c>
      <c r="J125" s="9" t="s">
        <v>126</v>
      </c>
      <c r="K125" s="8">
        <v>45247</v>
      </c>
      <c r="L125" s="21">
        <v>8321</v>
      </c>
      <c r="M125" s="8"/>
      <c r="N125" s="21"/>
      <c r="O125" s="8"/>
      <c r="P125" s="21"/>
      <c r="Q125" s="8"/>
      <c r="R125" s="28"/>
    </row>
    <row r="126" spans="1:18">
      <c r="A126" s="1" t="s">
        <v>263</v>
      </c>
      <c r="B126" s="6" t="s">
        <v>48</v>
      </c>
      <c r="C126" s="7">
        <v>45203</v>
      </c>
      <c r="D126" s="25">
        <f t="shared" si="2"/>
        <v>10</v>
      </c>
      <c r="E126" s="25">
        <f t="shared" si="3"/>
        <v>2023</v>
      </c>
      <c r="F126" s="7" t="s">
        <v>97</v>
      </c>
      <c r="G126" s="4" t="s">
        <v>112</v>
      </c>
      <c r="H126" s="4" t="s">
        <v>123</v>
      </c>
      <c r="I126" s="9">
        <v>6861</v>
      </c>
      <c r="J126" s="9" t="s">
        <v>126</v>
      </c>
      <c r="K126" s="8">
        <v>45204</v>
      </c>
      <c r="L126" s="21">
        <v>6861</v>
      </c>
      <c r="M126" s="8"/>
      <c r="N126" s="21"/>
      <c r="O126" s="8"/>
      <c r="P126" s="21"/>
      <c r="Q126" s="8"/>
      <c r="R126" s="28"/>
    </row>
    <row r="127" spans="1:18">
      <c r="A127" s="1" t="s">
        <v>264</v>
      </c>
      <c r="B127" s="6" t="s">
        <v>41</v>
      </c>
      <c r="C127" s="7">
        <v>45358</v>
      </c>
      <c r="D127" s="25">
        <f t="shared" si="2"/>
        <v>3</v>
      </c>
      <c r="E127" s="25">
        <f t="shared" si="3"/>
        <v>2024</v>
      </c>
      <c r="F127" s="7" t="s">
        <v>90</v>
      </c>
      <c r="G127" s="4" t="s">
        <v>111</v>
      </c>
      <c r="H127" s="4" t="s">
        <v>118</v>
      </c>
      <c r="I127" s="9">
        <v>1217</v>
      </c>
      <c r="J127" s="9" t="s">
        <v>138</v>
      </c>
      <c r="K127" s="8">
        <v>45359</v>
      </c>
      <c r="L127" s="21">
        <v>608.5</v>
      </c>
      <c r="M127" s="8">
        <v>45388</v>
      </c>
      <c r="N127" s="21">
        <v>608.5</v>
      </c>
      <c r="O127" s="8"/>
      <c r="P127" s="21"/>
      <c r="Q127" s="8"/>
      <c r="R127" s="28"/>
    </row>
    <row r="128" spans="1:18">
      <c r="A128" s="1" t="s">
        <v>265</v>
      </c>
      <c r="B128" s="6" t="s">
        <v>37</v>
      </c>
      <c r="C128" s="7">
        <v>45521</v>
      </c>
      <c r="D128" s="25">
        <f t="shared" si="2"/>
        <v>8</v>
      </c>
      <c r="E128" s="25">
        <f t="shared" si="3"/>
        <v>2024</v>
      </c>
      <c r="F128" s="7" t="s">
        <v>86</v>
      </c>
      <c r="G128" s="4" t="s">
        <v>112</v>
      </c>
      <c r="H128" s="4" t="s">
        <v>123</v>
      </c>
      <c r="I128" s="9">
        <v>8766</v>
      </c>
      <c r="J128" s="9" t="s">
        <v>126</v>
      </c>
      <c r="K128" s="8">
        <v>45522</v>
      </c>
      <c r="L128" s="21">
        <v>8766</v>
      </c>
      <c r="M128" s="8"/>
      <c r="N128" s="21"/>
      <c r="O128" s="8"/>
      <c r="P128" s="21"/>
      <c r="Q128" s="8"/>
      <c r="R128" s="28"/>
    </row>
    <row r="129" spans="1:18">
      <c r="A129" s="1" t="s">
        <v>266</v>
      </c>
      <c r="B129" s="6" t="s">
        <v>21</v>
      </c>
      <c r="C129" s="7">
        <v>45240</v>
      </c>
      <c r="D129" s="25">
        <f t="shared" si="2"/>
        <v>11</v>
      </c>
      <c r="E129" s="25">
        <f t="shared" si="3"/>
        <v>2023</v>
      </c>
      <c r="F129" s="7" t="s">
        <v>70</v>
      </c>
      <c r="G129" s="4" t="s">
        <v>110</v>
      </c>
      <c r="H129" s="4" t="s">
        <v>124</v>
      </c>
      <c r="I129" s="9">
        <v>7302</v>
      </c>
      <c r="J129" s="9" t="s">
        <v>126</v>
      </c>
      <c r="K129" s="8">
        <v>45241</v>
      </c>
      <c r="L129" s="21">
        <v>7302</v>
      </c>
      <c r="M129" s="8"/>
      <c r="N129" s="21"/>
      <c r="O129" s="8"/>
      <c r="P129" s="21"/>
      <c r="Q129" s="8"/>
      <c r="R129" s="28"/>
    </row>
    <row r="130" spans="1:18">
      <c r="A130" s="1" t="s">
        <v>267</v>
      </c>
      <c r="B130" s="6" t="s">
        <v>51</v>
      </c>
      <c r="C130" s="7">
        <v>45425</v>
      </c>
      <c r="D130" s="25">
        <f t="shared" si="2"/>
        <v>5</v>
      </c>
      <c r="E130" s="25">
        <f t="shared" si="3"/>
        <v>2024</v>
      </c>
      <c r="F130" s="7" t="s">
        <v>100</v>
      </c>
      <c r="G130" s="4" t="s">
        <v>111</v>
      </c>
      <c r="H130" s="4" t="s">
        <v>121</v>
      </c>
      <c r="I130" s="9">
        <v>3741</v>
      </c>
      <c r="J130" s="9" t="s">
        <v>137</v>
      </c>
      <c r="K130" s="8">
        <v>45426</v>
      </c>
      <c r="L130" s="21">
        <v>1247</v>
      </c>
      <c r="M130" s="8">
        <v>45455</v>
      </c>
      <c r="N130" s="21">
        <v>1247</v>
      </c>
      <c r="O130" s="8">
        <v>45470</v>
      </c>
      <c r="P130" s="21">
        <v>1247</v>
      </c>
      <c r="Q130" s="8"/>
      <c r="R130" s="28"/>
    </row>
    <row r="131" spans="1:18">
      <c r="A131" s="1" t="s">
        <v>268</v>
      </c>
      <c r="B131" s="6" t="s">
        <v>37</v>
      </c>
      <c r="C131" s="7">
        <v>45159</v>
      </c>
      <c r="D131" s="25">
        <f t="shared" si="2"/>
        <v>8</v>
      </c>
      <c r="E131" s="25">
        <f t="shared" si="3"/>
        <v>2023</v>
      </c>
      <c r="F131" s="7" t="s">
        <v>86</v>
      </c>
      <c r="G131" s="4" t="s">
        <v>112</v>
      </c>
      <c r="H131" s="4" t="s">
        <v>123</v>
      </c>
      <c r="I131" s="9">
        <v>1542</v>
      </c>
      <c r="J131" s="9" t="s">
        <v>126</v>
      </c>
      <c r="K131" s="8">
        <v>45160</v>
      </c>
      <c r="L131" s="21">
        <v>1542</v>
      </c>
      <c r="M131" s="8"/>
      <c r="N131" s="21"/>
      <c r="O131" s="8"/>
      <c r="P131" s="21"/>
      <c r="Q131" s="8"/>
      <c r="R131" s="28"/>
    </row>
    <row r="132" spans="1:18">
      <c r="A132" s="1" t="s">
        <v>269</v>
      </c>
      <c r="B132" s="6" t="s">
        <v>35</v>
      </c>
      <c r="C132" s="7">
        <v>45446</v>
      </c>
      <c r="D132" s="25">
        <f t="shared" ref="D132:D195" si="4">MONTH(C132)</f>
        <v>6</v>
      </c>
      <c r="E132" s="25">
        <f t="shared" ref="E132:E195" si="5">YEAR(C132)</f>
        <v>2024</v>
      </c>
      <c r="F132" s="7" t="s">
        <v>84</v>
      </c>
      <c r="G132" s="4" t="s">
        <v>112</v>
      </c>
      <c r="H132" s="4" t="s">
        <v>122</v>
      </c>
      <c r="I132" s="9">
        <v>6146</v>
      </c>
      <c r="J132" s="9" t="s">
        <v>126</v>
      </c>
      <c r="K132" s="8">
        <v>45447</v>
      </c>
      <c r="L132" s="21">
        <v>6146</v>
      </c>
      <c r="M132" s="8"/>
      <c r="N132" s="21"/>
      <c r="O132" s="8"/>
      <c r="P132" s="21"/>
      <c r="Q132" s="8"/>
      <c r="R132" s="28"/>
    </row>
    <row r="133" spans="1:18">
      <c r="A133" s="1" t="s">
        <v>270</v>
      </c>
      <c r="B133" s="6" t="s">
        <v>37</v>
      </c>
      <c r="C133" s="7">
        <v>45401</v>
      </c>
      <c r="D133" s="25">
        <f t="shared" si="4"/>
        <v>4</v>
      </c>
      <c r="E133" s="25">
        <f t="shared" si="5"/>
        <v>2024</v>
      </c>
      <c r="F133" s="7" t="s">
        <v>86</v>
      </c>
      <c r="G133" s="4" t="s">
        <v>112</v>
      </c>
      <c r="H133" s="4" t="s">
        <v>123</v>
      </c>
      <c r="I133" s="9">
        <v>6042</v>
      </c>
      <c r="J133" s="9" t="s">
        <v>126</v>
      </c>
      <c r="K133" s="8">
        <v>45402</v>
      </c>
      <c r="L133" s="21">
        <v>6042</v>
      </c>
      <c r="M133" s="8"/>
      <c r="N133" s="21"/>
      <c r="O133" s="8"/>
      <c r="P133" s="21"/>
      <c r="Q133" s="8"/>
      <c r="R133" s="28"/>
    </row>
    <row r="134" spans="1:18">
      <c r="A134" s="1" t="s">
        <v>271</v>
      </c>
      <c r="B134" s="6" t="s">
        <v>40</v>
      </c>
      <c r="C134" s="7">
        <v>45487</v>
      </c>
      <c r="D134" s="25">
        <f t="shared" si="4"/>
        <v>7</v>
      </c>
      <c r="E134" s="25">
        <f t="shared" si="5"/>
        <v>2024</v>
      </c>
      <c r="F134" s="7" t="s">
        <v>89</v>
      </c>
      <c r="G134" s="4" t="s">
        <v>111</v>
      </c>
      <c r="H134" s="4" t="s">
        <v>121</v>
      </c>
      <c r="I134" s="9">
        <v>9714</v>
      </c>
      <c r="J134" s="9" t="s">
        <v>138</v>
      </c>
      <c r="K134" s="8">
        <v>45488</v>
      </c>
      <c r="L134" s="21">
        <v>4857</v>
      </c>
      <c r="M134" s="8">
        <v>45517</v>
      </c>
      <c r="N134" s="21">
        <v>4857</v>
      </c>
      <c r="O134" s="8"/>
      <c r="P134" s="21"/>
      <c r="Q134" s="8"/>
      <c r="R134" s="28"/>
    </row>
    <row r="135" spans="1:18">
      <c r="A135" s="1" t="s">
        <v>272</v>
      </c>
      <c r="B135" s="6" t="s">
        <v>18</v>
      </c>
      <c r="C135" s="7">
        <v>45343</v>
      </c>
      <c r="D135" s="25">
        <f t="shared" si="4"/>
        <v>2</v>
      </c>
      <c r="E135" s="25">
        <f t="shared" si="5"/>
        <v>2024</v>
      </c>
      <c r="F135" s="7" t="s">
        <v>67</v>
      </c>
      <c r="G135" s="4" t="s">
        <v>111</v>
      </c>
      <c r="H135" s="4" t="s">
        <v>121</v>
      </c>
      <c r="I135" s="9">
        <v>7330</v>
      </c>
      <c r="J135" s="9" t="s">
        <v>136</v>
      </c>
      <c r="K135" s="8">
        <v>45344</v>
      </c>
      <c r="L135" s="21">
        <v>1832.5</v>
      </c>
      <c r="M135" s="8">
        <v>45373</v>
      </c>
      <c r="N135" s="21">
        <v>1832.5</v>
      </c>
      <c r="O135" s="8">
        <v>45388</v>
      </c>
      <c r="P135" s="21">
        <v>1832.5</v>
      </c>
      <c r="Q135" s="8">
        <v>45403</v>
      </c>
      <c r="R135" s="28">
        <v>1832.5</v>
      </c>
    </row>
    <row r="136" spans="1:18">
      <c r="A136" s="1" t="s">
        <v>273</v>
      </c>
      <c r="B136" s="6" t="s">
        <v>29</v>
      </c>
      <c r="C136" s="7">
        <v>45391</v>
      </c>
      <c r="D136" s="25">
        <f t="shared" si="4"/>
        <v>4</v>
      </c>
      <c r="E136" s="25">
        <f t="shared" si="5"/>
        <v>2024</v>
      </c>
      <c r="F136" s="7" t="s">
        <v>78</v>
      </c>
      <c r="G136" s="4" t="s">
        <v>111</v>
      </c>
      <c r="H136" s="4" t="s">
        <v>121</v>
      </c>
      <c r="I136" s="9">
        <v>1691</v>
      </c>
      <c r="J136" s="9" t="s">
        <v>126</v>
      </c>
      <c r="K136" s="8">
        <v>45392</v>
      </c>
      <c r="L136" s="21">
        <v>1691</v>
      </c>
      <c r="M136" s="8"/>
      <c r="N136" s="21"/>
      <c r="O136" s="8"/>
      <c r="P136" s="21"/>
      <c r="Q136" s="8"/>
      <c r="R136" s="28"/>
    </row>
    <row r="137" spans="1:18">
      <c r="A137" s="1" t="s">
        <v>274</v>
      </c>
      <c r="B137" s="6" t="s">
        <v>21</v>
      </c>
      <c r="C137" s="7">
        <v>45082</v>
      </c>
      <c r="D137" s="25">
        <f t="shared" si="4"/>
        <v>6</v>
      </c>
      <c r="E137" s="25">
        <f t="shared" si="5"/>
        <v>2023</v>
      </c>
      <c r="F137" s="7" t="s">
        <v>70</v>
      </c>
      <c r="G137" s="4" t="s">
        <v>110</v>
      </c>
      <c r="H137" s="4" t="s">
        <v>124</v>
      </c>
      <c r="I137" s="9">
        <v>5737</v>
      </c>
      <c r="J137" s="9" t="s">
        <v>138</v>
      </c>
      <c r="K137" s="8">
        <v>45083</v>
      </c>
      <c r="L137" s="21">
        <v>2868.5</v>
      </c>
      <c r="M137" s="8">
        <v>45112</v>
      </c>
      <c r="N137" s="21">
        <v>2868.5</v>
      </c>
      <c r="O137" s="8"/>
      <c r="P137" s="21"/>
      <c r="Q137" s="8"/>
      <c r="R137" s="28"/>
    </row>
    <row r="138" spans="1:18">
      <c r="A138" s="1" t="s">
        <v>275</v>
      </c>
      <c r="B138" s="6" t="s">
        <v>51</v>
      </c>
      <c r="C138" s="7">
        <v>45159</v>
      </c>
      <c r="D138" s="25">
        <f t="shared" si="4"/>
        <v>8</v>
      </c>
      <c r="E138" s="25">
        <f t="shared" si="5"/>
        <v>2023</v>
      </c>
      <c r="F138" s="7" t="s">
        <v>100</v>
      </c>
      <c r="G138" s="4" t="s">
        <v>111</v>
      </c>
      <c r="H138" s="4" t="s">
        <v>121</v>
      </c>
      <c r="I138" s="9">
        <v>7363</v>
      </c>
      <c r="J138" s="9" t="s">
        <v>137</v>
      </c>
      <c r="K138" s="8">
        <v>45160</v>
      </c>
      <c r="L138" s="21">
        <v>2454.3333333333335</v>
      </c>
      <c r="M138" s="8">
        <v>45189</v>
      </c>
      <c r="N138" s="21">
        <v>2454.3333333333335</v>
      </c>
      <c r="O138" s="8">
        <v>45204</v>
      </c>
      <c r="P138" s="21">
        <v>2454.3333333333335</v>
      </c>
      <c r="Q138" s="8"/>
      <c r="R138" s="28"/>
    </row>
    <row r="139" spans="1:18">
      <c r="A139" s="1" t="s">
        <v>276</v>
      </c>
      <c r="B139" s="6" t="s">
        <v>60</v>
      </c>
      <c r="C139" s="7">
        <v>45135</v>
      </c>
      <c r="D139" s="25">
        <f t="shared" si="4"/>
        <v>7</v>
      </c>
      <c r="E139" s="25">
        <f t="shared" si="5"/>
        <v>2023</v>
      </c>
      <c r="F139" s="7" t="s">
        <v>109</v>
      </c>
      <c r="G139" s="4" t="s">
        <v>111</v>
      </c>
      <c r="H139" s="4" t="s">
        <v>118</v>
      </c>
      <c r="I139" s="9">
        <v>9467</v>
      </c>
      <c r="J139" s="9" t="s">
        <v>126</v>
      </c>
      <c r="K139" s="8">
        <v>45136</v>
      </c>
      <c r="L139" s="21">
        <v>9467</v>
      </c>
      <c r="M139" s="8"/>
      <c r="N139" s="21"/>
      <c r="O139" s="8"/>
      <c r="P139" s="21"/>
      <c r="Q139" s="8"/>
      <c r="R139" s="28"/>
    </row>
    <row r="140" spans="1:18">
      <c r="A140" s="1" t="s">
        <v>277</v>
      </c>
      <c r="B140" s="6" t="s">
        <v>35</v>
      </c>
      <c r="C140" s="7">
        <v>45183</v>
      </c>
      <c r="D140" s="25">
        <f t="shared" si="4"/>
        <v>9</v>
      </c>
      <c r="E140" s="25">
        <f t="shared" si="5"/>
        <v>2023</v>
      </c>
      <c r="F140" s="7" t="s">
        <v>84</v>
      </c>
      <c r="G140" s="4" t="s">
        <v>112</v>
      </c>
      <c r="H140" s="4" t="s">
        <v>122</v>
      </c>
      <c r="I140" s="9">
        <v>5854</v>
      </c>
      <c r="J140" s="9" t="s">
        <v>126</v>
      </c>
      <c r="K140" s="8">
        <v>45184</v>
      </c>
      <c r="L140" s="21">
        <v>5854</v>
      </c>
      <c r="M140" s="8"/>
      <c r="N140" s="21"/>
      <c r="O140" s="8"/>
      <c r="P140" s="21"/>
      <c r="Q140" s="8"/>
      <c r="R140" s="28"/>
    </row>
    <row r="141" spans="1:18">
      <c r="A141" s="1" t="s">
        <v>278</v>
      </c>
      <c r="B141" s="6" t="s">
        <v>50</v>
      </c>
      <c r="C141" s="7">
        <v>45506</v>
      </c>
      <c r="D141" s="25">
        <f t="shared" si="4"/>
        <v>8</v>
      </c>
      <c r="E141" s="25">
        <f t="shared" si="5"/>
        <v>2024</v>
      </c>
      <c r="F141" s="7" t="s">
        <v>99</v>
      </c>
      <c r="G141" s="4" t="s">
        <v>110</v>
      </c>
      <c r="H141" s="4" t="s">
        <v>114</v>
      </c>
      <c r="I141" s="9">
        <v>3772</v>
      </c>
      <c r="J141" s="9" t="s">
        <v>126</v>
      </c>
      <c r="K141" s="8">
        <v>45507</v>
      </c>
      <c r="L141" s="21">
        <v>3772</v>
      </c>
      <c r="M141" s="8"/>
      <c r="N141" s="21"/>
      <c r="O141" s="8"/>
      <c r="P141" s="21"/>
      <c r="Q141" s="8"/>
      <c r="R141" s="28"/>
    </row>
    <row r="142" spans="1:18">
      <c r="A142" s="1" t="s">
        <v>279</v>
      </c>
      <c r="B142" s="6" t="s">
        <v>22</v>
      </c>
      <c r="C142" s="7">
        <v>45219</v>
      </c>
      <c r="D142" s="25">
        <f t="shared" si="4"/>
        <v>10</v>
      </c>
      <c r="E142" s="25">
        <f t="shared" si="5"/>
        <v>2023</v>
      </c>
      <c r="F142" s="7" t="s">
        <v>71</v>
      </c>
      <c r="G142" s="4" t="s">
        <v>111</v>
      </c>
      <c r="H142" s="4" t="s">
        <v>119</v>
      </c>
      <c r="I142" s="9">
        <v>7231</v>
      </c>
      <c r="J142" s="9" t="s">
        <v>126</v>
      </c>
      <c r="K142" s="8">
        <v>45220</v>
      </c>
      <c r="L142" s="21">
        <v>7231</v>
      </c>
      <c r="M142" s="8"/>
      <c r="N142" s="21"/>
      <c r="O142" s="8"/>
      <c r="P142" s="21"/>
      <c r="Q142" s="8"/>
      <c r="R142" s="28"/>
    </row>
    <row r="143" spans="1:18">
      <c r="A143" s="1" t="s">
        <v>280</v>
      </c>
      <c r="B143" s="6" t="s">
        <v>28</v>
      </c>
      <c r="C143" s="7">
        <v>45157</v>
      </c>
      <c r="D143" s="25">
        <f t="shared" si="4"/>
        <v>8</v>
      </c>
      <c r="E143" s="25">
        <f t="shared" si="5"/>
        <v>2023</v>
      </c>
      <c r="F143" s="7" t="s">
        <v>77</v>
      </c>
      <c r="G143" s="4" t="s">
        <v>110</v>
      </c>
      <c r="H143" s="4" t="s">
        <v>114</v>
      </c>
      <c r="I143" s="9">
        <v>2181</v>
      </c>
      <c r="J143" s="9" t="s">
        <v>126</v>
      </c>
      <c r="K143" s="8">
        <v>45158</v>
      </c>
      <c r="L143" s="21">
        <v>2181</v>
      </c>
      <c r="M143" s="8"/>
      <c r="N143" s="21"/>
      <c r="O143" s="8"/>
      <c r="P143" s="21"/>
      <c r="Q143" s="8"/>
      <c r="R143" s="28"/>
    </row>
    <row r="144" spans="1:18">
      <c r="A144" s="1" t="s">
        <v>281</v>
      </c>
      <c r="B144" s="6" t="s">
        <v>54</v>
      </c>
      <c r="C144" s="7">
        <v>45077</v>
      </c>
      <c r="D144" s="25">
        <f t="shared" si="4"/>
        <v>5</v>
      </c>
      <c r="E144" s="25">
        <f t="shared" si="5"/>
        <v>2023</v>
      </c>
      <c r="F144" s="7" t="s">
        <v>103</v>
      </c>
      <c r="G144" s="4" t="s">
        <v>110</v>
      </c>
      <c r="H144" s="4" t="s">
        <v>124</v>
      </c>
      <c r="I144" s="9">
        <v>8843</v>
      </c>
      <c r="J144" s="9" t="s">
        <v>126</v>
      </c>
      <c r="K144" s="8">
        <v>45078</v>
      </c>
      <c r="L144" s="21">
        <v>8843</v>
      </c>
      <c r="M144" s="8"/>
      <c r="N144" s="21"/>
      <c r="O144" s="8"/>
      <c r="P144" s="21"/>
      <c r="Q144" s="8"/>
      <c r="R144" s="28"/>
    </row>
    <row r="145" spans="1:18">
      <c r="A145" s="1" t="s">
        <v>282</v>
      </c>
      <c r="B145" s="6" t="s">
        <v>50</v>
      </c>
      <c r="C145" s="7">
        <v>45291</v>
      </c>
      <c r="D145" s="25">
        <f t="shared" si="4"/>
        <v>12</v>
      </c>
      <c r="E145" s="25">
        <f t="shared" si="5"/>
        <v>2023</v>
      </c>
      <c r="F145" s="7" t="s">
        <v>99</v>
      </c>
      <c r="G145" s="4" t="s">
        <v>110</v>
      </c>
      <c r="H145" s="4" t="s">
        <v>114</v>
      </c>
      <c r="I145" s="9">
        <v>8809</v>
      </c>
      <c r="J145" s="9" t="s">
        <v>126</v>
      </c>
      <c r="K145" s="8">
        <v>45292</v>
      </c>
      <c r="L145" s="21">
        <v>8809</v>
      </c>
      <c r="M145" s="8"/>
      <c r="N145" s="21"/>
      <c r="O145" s="8"/>
      <c r="P145" s="21"/>
      <c r="Q145" s="8"/>
      <c r="R145" s="28"/>
    </row>
    <row r="146" spans="1:18">
      <c r="A146" s="1" t="s">
        <v>283</v>
      </c>
      <c r="B146" s="6" t="s">
        <v>48</v>
      </c>
      <c r="C146" s="7">
        <v>45354</v>
      </c>
      <c r="D146" s="25">
        <f t="shared" si="4"/>
        <v>3</v>
      </c>
      <c r="E146" s="25">
        <f t="shared" si="5"/>
        <v>2024</v>
      </c>
      <c r="F146" s="7" t="s">
        <v>97</v>
      </c>
      <c r="G146" s="4" t="s">
        <v>112</v>
      </c>
      <c r="H146" s="4" t="s">
        <v>123</v>
      </c>
      <c r="I146" s="9">
        <v>2890</v>
      </c>
      <c r="J146" s="9" t="s">
        <v>126</v>
      </c>
      <c r="K146" s="8">
        <v>45355</v>
      </c>
      <c r="L146" s="21">
        <v>2890</v>
      </c>
      <c r="M146" s="8"/>
      <c r="N146" s="21"/>
      <c r="O146" s="8"/>
      <c r="P146" s="21"/>
      <c r="Q146" s="8"/>
      <c r="R146" s="28"/>
    </row>
    <row r="147" spans="1:18">
      <c r="A147" s="1" t="s">
        <v>284</v>
      </c>
      <c r="B147" s="6" t="s">
        <v>55</v>
      </c>
      <c r="C147" s="7">
        <v>45221</v>
      </c>
      <c r="D147" s="25">
        <f t="shared" si="4"/>
        <v>10</v>
      </c>
      <c r="E147" s="25">
        <f t="shared" si="5"/>
        <v>2023</v>
      </c>
      <c r="F147" s="7" t="s">
        <v>104</v>
      </c>
      <c r="G147" s="4" t="s">
        <v>111</v>
      </c>
      <c r="H147" s="4" t="s">
        <v>119</v>
      </c>
      <c r="I147" s="9">
        <v>3001</v>
      </c>
      <c r="J147" s="9" t="s">
        <v>138</v>
      </c>
      <c r="K147" s="8">
        <v>45222</v>
      </c>
      <c r="L147" s="21">
        <v>1500.5</v>
      </c>
      <c r="M147" s="8">
        <v>45251</v>
      </c>
      <c r="N147" s="21">
        <v>1500.5</v>
      </c>
      <c r="O147" s="8"/>
      <c r="P147" s="21"/>
      <c r="Q147" s="8"/>
      <c r="R147" s="28"/>
    </row>
    <row r="148" spans="1:18">
      <c r="A148" s="1" t="s">
        <v>285</v>
      </c>
      <c r="B148" s="6" t="s">
        <v>59</v>
      </c>
      <c r="C148" s="7">
        <v>45403</v>
      </c>
      <c r="D148" s="25">
        <f t="shared" si="4"/>
        <v>4</v>
      </c>
      <c r="E148" s="25">
        <f t="shared" si="5"/>
        <v>2024</v>
      </c>
      <c r="F148" s="7" t="s">
        <v>108</v>
      </c>
      <c r="G148" s="4" t="s">
        <v>111</v>
      </c>
      <c r="H148" s="4" t="s">
        <v>121</v>
      </c>
      <c r="I148" s="9">
        <v>3567</v>
      </c>
      <c r="J148" s="9" t="s">
        <v>137</v>
      </c>
      <c r="K148" s="8">
        <v>45404</v>
      </c>
      <c r="L148" s="21">
        <v>1189</v>
      </c>
      <c r="M148" s="8">
        <v>45433</v>
      </c>
      <c r="N148" s="21">
        <v>1189</v>
      </c>
      <c r="O148" s="8">
        <v>45448</v>
      </c>
      <c r="P148" s="21">
        <v>1189</v>
      </c>
      <c r="Q148" s="8"/>
      <c r="R148" s="28"/>
    </row>
    <row r="149" spans="1:18">
      <c r="A149" s="1" t="s">
        <v>286</v>
      </c>
      <c r="B149" s="6" t="s">
        <v>32</v>
      </c>
      <c r="C149" s="7">
        <v>45216</v>
      </c>
      <c r="D149" s="25">
        <f t="shared" si="4"/>
        <v>10</v>
      </c>
      <c r="E149" s="25">
        <f t="shared" si="5"/>
        <v>2023</v>
      </c>
      <c r="F149" s="7" t="s">
        <v>81</v>
      </c>
      <c r="G149" s="4" t="s">
        <v>110</v>
      </c>
      <c r="H149" s="4" t="s">
        <v>124</v>
      </c>
      <c r="I149" s="9">
        <v>4135</v>
      </c>
      <c r="J149" s="9" t="s">
        <v>137</v>
      </c>
      <c r="K149" s="8">
        <v>45217</v>
      </c>
      <c r="L149" s="21">
        <v>1378.3333333333333</v>
      </c>
      <c r="M149" s="8">
        <v>45246</v>
      </c>
      <c r="N149" s="21">
        <v>1378.3333333333333</v>
      </c>
      <c r="O149" s="8">
        <v>45261</v>
      </c>
      <c r="P149" s="21">
        <v>1378.3333333333333</v>
      </c>
      <c r="Q149" s="8"/>
      <c r="R149" s="28"/>
    </row>
    <row r="150" spans="1:18">
      <c r="A150" s="1" t="s">
        <v>287</v>
      </c>
      <c r="B150" s="6" t="s">
        <v>42</v>
      </c>
      <c r="C150" s="7">
        <v>45191</v>
      </c>
      <c r="D150" s="25">
        <f t="shared" si="4"/>
        <v>9</v>
      </c>
      <c r="E150" s="25">
        <f t="shared" si="5"/>
        <v>2023</v>
      </c>
      <c r="F150" s="7" t="s">
        <v>91</v>
      </c>
      <c r="G150" s="4" t="s">
        <v>111</v>
      </c>
      <c r="H150" s="4" t="s">
        <v>117</v>
      </c>
      <c r="I150" s="9">
        <v>3088</v>
      </c>
      <c r="J150" s="9" t="s">
        <v>136</v>
      </c>
      <c r="K150" s="8">
        <v>45192</v>
      </c>
      <c r="L150" s="21">
        <v>772</v>
      </c>
      <c r="M150" s="8">
        <v>45221</v>
      </c>
      <c r="N150" s="21">
        <v>772</v>
      </c>
      <c r="O150" s="8">
        <v>45236</v>
      </c>
      <c r="P150" s="21">
        <v>772</v>
      </c>
      <c r="Q150" s="8">
        <v>45251</v>
      </c>
      <c r="R150" s="28">
        <v>772</v>
      </c>
    </row>
    <row r="151" spans="1:18">
      <c r="A151" s="1" t="s">
        <v>288</v>
      </c>
      <c r="B151" s="6" t="s">
        <v>22</v>
      </c>
      <c r="C151" s="7">
        <v>45208</v>
      </c>
      <c r="D151" s="25">
        <f t="shared" si="4"/>
        <v>10</v>
      </c>
      <c r="E151" s="25">
        <f t="shared" si="5"/>
        <v>2023</v>
      </c>
      <c r="F151" s="7" t="s">
        <v>71</v>
      </c>
      <c r="G151" s="4" t="s">
        <v>111</v>
      </c>
      <c r="H151" s="4" t="s">
        <v>119</v>
      </c>
      <c r="I151" s="9">
        <v>5049</v>
      </c>
      <c r="J151" s="9" t="s">
        <v>136</v>
      </c>
      <c r="K151" s="8">
        <v>45209</v>
      </c>
      <c r="L151" s="21">
        <v>1262.25</v>
      </c>
      <c r="M151" s="8">
        <v>45238</v>
      </c>
      <c r="N151" s="21">
        <v>1262.25</v>
      </c>
      <c r="O151" s="8">
        <v>45253</v>
      </c>
      <c r="P151" s="21">
        <v>1262.25</v>
      </c>
      <c r="Q151" s="8">
        <v>45268</v>
      </c>
      <c r="R151" s="28">
        <v>1262.25</v>
      </c>
    </row>
    <row r="152" spans="1:18">
      <c r="A152" s="1" t="s">
        <v>289</v>
      </c>
      <c r="B152" s="6" t="s">
        <v>22</v>
      </c>
      <c r="C152" s="7">
        <v>45324</v>
      </c>
      <c r="D152" s="25">
        <f t="shared" si="4"/>
        <v>2</v>
      </c>
      <c r="E152" s="25">
        <f t="shared" si="5"/>
        <v>2024</v>
      </c>
      <c r="F152" s="7" t="s">
        <v>71</v>
      </c>
      <c r="G152" s="4" t="s">
        <v>111</v>
      </c>
      <c r="H152" s="4" t="s">
        <v>119</v>
      </c>
      <c r="I152" s="9">
        <v>5827</v>
      </c>
      <c r="J152" s="9" t="s">
        <v>137</v>
      </c>
      <c r="K152" s="8">
        <v>45325</v>
      </c>
      <c r="L152" s="21">
        <v>1942.3333333333333</v>
      </c>
      <c r="M152" s="8">
        <v>45354</v>
      </c>
      <c r="N152" s="21">
        <v>1942.3333333333333</v>
      </c>
      <c r="O152" s="8">
        <v>45369</v>
      </c>
      <c r="P152" s="21">
        <v>1942.3333333333333</v>
      </c>
      <c r="Q152" s="8"/>
      <c r="R152" s="28"/>
    </row>
    <row r="153" spans="1:18">
      <c r="A153" s="1" t="s">
        <v>290</v>
      </c>
      <c r="B153" s="6" t="s">
        <v>13</v>
      </c>
      <c r="C153" s="7">
        <v>45502</v>
      </c>
      <c r="D153" s="25">
        <f t="shared" si="4"/>
        <v>7</v>
      </c>
      <c r="E153" s="25">
        <f t="shared" si="5"/>
        <v>2024</v>
      </c>
      <c r="F153" s="7" t="s">
        <v>63</v>
      </c>
      <c r="G153" s="4" t="s">
        <v>111</v>
      </c>
      <c r="H153" s="4" t="s">
        <v>120</v>
      </c>
      <c r="I153" s="9">
        <v>2016</v>
      </c>
      <c r="J153" s="9" t="s">
        <v>126</v>
      </c>
      <c r="K153" s="8">
        <v>45503</v>
      </c>
      <c r="L153" s="21">
        <v>2016</v>
      </c>
      <c r="M153" s="8"/>
      <c r="N153" s="21"/>
      <c r="O153" s="8"/>
      <c r="P153" s="21"/>
      <c r="Q153" s="8"/>
      <c r="R153" s="28"/>
    </row>
    <row r="154" spans="1:18">
      <c r="A154" s="1" t="s">
        <v>291</v>
      </c>
      <c r="B154" s="6" t="s">
        <v>26</v>
      </c>
      <c r="C154" s="7">
        <v>45311</v>
      </c>
      <c r="D154" s="25">
        <f t="shared" si="4"/>
        <v>1</v>
      </c>
      <c r="E154" s="25">
        <f t="shared" si="5"/>
        <v>2024</v>
      </c>
      <c r="F154" s="7" t="s">
        <v>75</v>
      </c>
      <c r="G154" s="4" t="s">
        <v>112</v>
      </c>
      <c r="H154" s="4" t="s">
        <v>123</v>
      </c>
      <c r="I154" s="9">
        <v>1311</v>
      </c>
      <c r="J154" s="9" t="s">
        <v>126</v>
      </c>
      <c r="K154" s="8">
        <v>45312</v>
      </c>
      <c r="L154" s="21">
        <v>1311</v>
      </c>
      <c r="M154" s="8"/>
      <c r="N154" s="21"/>
      <c r="O154" s="8"/>
      <c r="P154" s="21"/>
      <c r="Q154" s="8"/>
      <c r="R154" s="28"/>
    </row>
    <row r="155" spans="1:18">
      <c r="A155" s="1" t="s">
        <v>292</v>
      </c>
      <c r="B155" s="6" t="s">
        <v>19</v>
      </c>
      <c r="C155" s="7">
        <v>45201</v>
      </c>
      <c r="D155" s="25">
        <f t="shared" si="4"/>
        <v>10</v>
      </c>
      <c r="E155" s="25">
        <f t="shared" si="5"/>
        <v>2023</v>
      </c>
      <c r="F155" s="7" t="s">
        <v>68</v>
      </c>
      <c r="G155" s="4" t="s">
        <v>111</v>
      </c>
      <c r="H155" s="4" t="s">
        <v>118</v>
      </c>
      <c r="I155" s="9">
        <v>6775</v>
      </c>
      <c r="J155" s="9" t="s">
        <v>126</v>
      </c>
      <c r="K155" s="8">
        <v>45202</v>
      </c>
      <c r="L155" s="21">
        <v>6775</v>
      </c>
      <c r="M155" s="8"/>
      <c r="N155" s="21"/>
      <c r="O155" s="8"/>
      <c r="P155" s="21"/>
      <c r="Q155" s="8"/>
      <c r="R155" s="28"/>
    </row>
    <row r="156" spans="1:18">
      <c r="A156" s="1" t="s">
        <v>293</v>
      </c>
      <c r="B156" s="6" t="s">
        <v>48</v>
      </c>
      <c r="C156" s="7">
        <v>45066</v>
      </c>
      <c r="D156" s="25">
        <f t="shared" si="4"/>
        <v>5</v>
      </c>
      <c r="E156" s="25">
        <f t="shared" si="5"/>
        <v>2023</v>
      </c>
      <c r="F156" s="7" t="s">
        <v>97</v>
      </c>
      <c r="G156" s="4" t="s">
        <v>112</v>
      </c>
      <c r="H156" s="4" t="s">
        <v>123</v>
      </c>
      <c r="I156" s="9">
        <v>3480</v>
      </c>
      <c r="J156" s="9" t="s">
        <v>126</v>
      </c>
      <c r="K156" s="8">
        <v>45067</v>
      </c>
      <c r="L156" s="21">
        <v>3480</v>
      </c>
      <c r="M156" s="8"/>
      <c r="N156" s="21"/>
      <c r="O156" s="8"/>
      <c r="P156" s="21"/>
      <c r="Q156" s="8"/>
      <c r="R156" s="28"/>
    </row>
    <row r="157" spans="1:18">
      <c r="A157" s="1" t="s">
        <v>294</v>
      </c>
      <c r="B157" s="6" t="s">
        <v>37</v>
      </c>
      <c r="C157" s="7">
        <v>45362</v>
      </c>
      <c r="D157" s="25">
        <f t="shared" si="4"/>
        <v>3</v>
      </c>
      <c r="E157" s="25">
        <f t="shared" si="5"/>
        <v>2024</v>
      </c>
      <c r="F157" s="7" t="s">
        <v>86</v>
      </c>
      <c r="G157" s="4" t="s">
        <v>112</v>
      </c>
      <c r="H157" s="4" t="s">
        <v>123</v>
      </c>
      <c r="I157" s="9">
        <v>8798</v>
      </c>
      <c r="J157" s="9" t="s">
        <v>126</v>
      </c>
      <c r="K157" s="8">
        <v>45363</v>
      </c>
      <c r="L157" s="21">
        <v>8798</v>
      </c>
      <c r="M157" s="8"/>
      <c r="N157" s="21"/>
      <c r="O157" s="8"/>
      <c r="P157" s="21"/>
      <c r="Q157" s="8"/>
      <c r="R157" s="28"/>
    </row>
    <row r="158" spans="1:18">
      <c r="A158" s="1" t="s">
        <v>295</v>
      </c>
      <c r="B158" s="6" t="s">
        <v>45</v>
      </c>
      <c r="C158" s="7">
        <v>45363</v>
      </c>
      <c r="D158" s="25">
        <f t="shared" si="4"/>
        <v>3</v>
      </c>
      <c r="E158" s="25">
        <f t="shared" si="5"/>
        <v>2024</v>
      </c>
      <c r="F158" s="7" t="s">
        <v>94</v>
      </c>
      <c r="G158" s="4" t="s">
        <v>110</v>
      </c>
      <c r="H158" s="4" t="s">
        <v>113</v>
      </c>
      <c r="I158" s="9">
        <v>6614</v>
      </c>
      <c r="J158" s="9" t="s">
        <v>136</v>
      </c>
      <c r="K158" s="8">
        <v>45364</v>
      </c>
      <c r="L158" s="21">
        <v>1653.5</v>
      </c>
      <c r="M158" s="8">
        <v>45393</v>
      </c>
      <c r="N158" s="21">
        <v>1653.5</v>
      </c>
      <c r="O158" s="8">
        <v>45408</v>
      </c>
      <c r="P158" s="21">
        <v>1653.5</v>
      </c>
      <c r="Q158" s="8">
        <v>45423</v>
      </c>
      <c r="R158" s="28">
        <v>1653.5</v>
      </c>
    </row>
    <row r="159" spans="1:18">
      <c r="A159" s="1" t="s">
        <v>296</v>
      </c>
      <c r="B159" s="6" t="s">
        <v>56</v>
      </c>
      <c r="C159" s="7">
        <v>45087</v>
      </c>
      <c r="D159" s="25">
        <f t="shared" si="4"/>
        <v>6</v>
      </c>
      <c r="E159" s="25">
        <f t="shared" si="5"/>
        <v>2023</v>
      </c>
      <c r="F159" s="7" t="s">
        <v>105</v>
      </c>
      <c r="G159" s="4" t="s">
        <v>110</v>
      </c>
      <c r="H159" s="4" t="s">
        <v>113</v>
      </c>
      <c r="I159" s="9">
        <v>6729</v>
      </c>
      <c r="J159" s="9" t="s">
        <v>137</v>
      </c>
      <c r="K159" s="8">
        <v>45088</v>
      </c>
      <c r="L159" s="21">
        <v>2243</v>
      </c>
      <c r="M159" s="8">
        <v>45117</v>
      </c>
      <c r="N159" s="21">
        <v>2243</v>
      </c>
      <c r="O159" s="8">
        <v>45132</v>
      </c>
      <c r="P159" s="21">
        <v>2243</v>
      </c>
      <c r="Q159" s="8"/>
      <c r="R159" s="28"/>
    </row>
    <row r="160" spans="1:18">
      <c r="A160" s="1" t="s">
        <v>297</v>
      </c>
      <c r="B160" s="6" t="s">
        <v>57</v>
      </c>
      <c r="C160" s="7">
        <v>45430</v>
      </c>
      <c r="D160" s="25">
        <f t="shared" si="4"/>
        <v>5</v>
      </c>
      <c r="E160" s="25">
        <f t="shared" si="5"/>
        <v>2024</v>
      </c>
      <c r="F160" s="7" t="s">
        <v>106</v>
      </c>
      <c r="G160" s="4" t="s">
        <v>112</v>
      </c>
      <c r="H160" s="4" t="s">
        <v>122</v>
      </c>
      <c r="I160" s="9">
        <v>4572</v>
      </c>
      <c r="J160" s="9" t="s">
        <v>126</v>
      </c>
      <c r="K160" s="8">
        <v>45431</v>
      </c>
      <c r="L160" s="21">
        <v>4572</v>
      </c>
      <c r="M160" s="8"/>
      <c r="N160" s="21"/>
      <c r="O160" s="8"/>
      <c r="P160" s="21"/>
      <c r="Q160" s="8"/>
      <c r="R160" s="28"/>
    </row>
    <row r="161" spans="1:18">
      <c r="A161" s="1" t="s">
        <v>298</v>
      </c>
      <c r="B161" s="6" t="s">
        <v>40</v>
      </c>
      <c r="C161" s="7">
        <v>45342</v>
      </c>
      <c r="D161" s="25">
        <f t="shared" si="4"/>
        <v>2</v>
      </c>
      <c r="E161" s="25">
        <f t="shared" si="5"/>
        <v>2024</v>
      </c>
      <c r="F161" s="7" t="s">
        <v>89</v>
      </c>
      <c r="G161" s="4" t="s">
        <v>111</v>
      </c>
      <c r="H161" s="4" t="s">
        <v>121</v>
      </c>
      <c r="I161" s="9">
        <v>7623</v>
      </c>
      <c r="J161" s="9" t="s">
        <v>126</v>
      </c>
      <c r="K161" s="8">
        <v>45343</v>
      </c>
      <c r="L161" s="21">
        <v>7623</v>
      </c>
      <c r="M161" s="8"/>
      <c r="N161" s="21"/>
      <c r="O161" s="8"/>
      <c r="P161" s="21"/>
      <c r="Q161" s="8"/>
      <c r="R161" s="28"/>
    </row>
    <row r="162" spans="1:18">
      <c r="A162" s="1" t="s">
        <v>299</v>
      </c>
      <c r="B162" s="6" t="s">
        <v>19</v>
      </c>
      <c r="C162" s="7">
        <v>45202</v>
      </c>
      <c r="D162" s="25">
        <f t="shared" si="4"/>
        <v>10</v>
      </c>
      <c r="E162" s="25">
        <f t="shared" si="5"/>
        <v>2023</v>
      </c>
      <c r="F162" s="7" t="s">
        <v>68</v>
      </c>
      <c r="G162" s="4" t="s">
        <v>111</v>
      </c>
      <c r="H162" s="4" t="s">
        <v>118</v>
      </c>
      <c r="I162" s="9">
        <v>8345</v>
      </c>
      <c r="J162" s="9" t="s">
        <v>138</v>
      </c>
      <c r="K162" s="8">
        <v>45203</v>
      </c>
      <c r="L162" s="21">
        <v>4172.5</v>
      </c>
      <c r="M162" s="8">
        <v>45232</v>
      </c>
      <c r="N162" s="21">
        <v>4172.5</v>
      </c>
      <c r="O162" s="8"/>
      <c r="P162" s="21"/>
      <c r="Q162" s="8"/>
      <c r="R162" s="28"/>
    </row>
    <row r="163" spans="1:18">
      <c r="A163" s="1" t="s">
        <v>300</v>
      </c>
      <c r="B163" s="6" t="s">
        <v>54</v>
      </c>
      <c r="C163" s="7">
        <v>45390</v>
      </c>
      <c r="D163" s="25">
        <f t="shared" si="4"/>
        <v>4</v>
      </c>
      <c r="E163" s="25">
        <f t="shared" si="5"/>
        <v>2024</v>
      </c>
      <c r="F163" s="7" t="s">
        <v>103</v>
      </c>
      <c r="G163" s="4" t="s">
        <v>110</v>
      </c>
      <c r="H163" s="4" t="s">
        <v>124</v>
      </c>
      <c r="I163" s="9">
        <v>9714</v>
      </c>
      <c r="J163" s="9" t="s">
        <v>126</v>
      </c>
      <c r="K163" s="8">
        <v>45391</v>
      </c>
      <c r="L163" s="21">
        <v>9714</v>
      </c>
      <c r="M163" s="8"/>
      <c r="N163" s="21"/>
      <c r="O163" s="8"/>
      <c r="P163" s="21"/>
      <c r="Q163" s="8"/>
      <c r="R163" s="28"/>
    </row>
    <row r="164" spans="1:18">
      <c r="A164" s="1" t="s">
        <v>301</v>
      </c>
      <c r="B164" s="6" t="s">
        <v>32</v>
      </c>
      <c r="C164" s="7">
        <v>45139</v>
      </c>
      <c r="D164" s="25">
        <f t="shared" si="4"/>
        <v>8</v>
      </c>
      <c r="E164" s="25">
        <f t="shared" si="5"/>
        <v>2023</v>
      </c>
      <c r="F164" s="7" t="s">
        <v>81</v>
      </c>
      <c r="G164" s="4" t="s">
        <v>110</v>
      </c>
      <c r="H164" s="4" t="s">
        <v>124</v>
      </c>
      <c r="I164" s="9">
        <v>8895</v>
      </c>
      <c r="J164" s="9" t="s">
        <v>136</v>
      </c>
      <c r="K164" s="8">
        <v>45140</v>
      </c>
      <c r="L164" s="21">
        <v>2223.75</v>
      </c>
      <c r="M164" s="8">
        <v>45169</v>
      </c>
      <c r="N164" s="21">
        <v>2223.75</v>
      </c>
      <c r="O164" s="8">
        <v>45184</v>
      </c>
      <c r="P164" s="21">
        <v>2223.75</v>
      </c>
      <c r="Q164" s="8">
        <v>45199</v>
      </c>
      <c r="R164" s="28">
        <v>2223.75</v>
      </c>
    </row>
    <row r="165" spans="1:18">
      <c r="A165" s="1" t="s">
        <v>302</v>
      </c>
      <c r="B165" s="6" t="s">
        <v>34</v>
      </c>
      <c r="C165" s="7">
        <v>45152</v>
      </c>
      <c r="D165" s="25">
        <f t="shared" si="4"/>
        <v>8</v>
      </c>
      <c r="E165" s="25">
        <f t="shared" si="5"/>
        <v>2023</v>
      </c>
      <c r="F165" s="7" t="s">
        <v>83</v>
      </c>
      <c r="G165" s="4" t="s">
        <v>110</v>
      </c>
      <c r="H165" s="4" t="s">
        <v>113</v>
      </c>
      <c r="I165" s="9">
        <v>5276</v>
      </c>
      <c r="J165" s="9" t="s">
        <v>136</v>
      </c>
      <c r="K165" s="8">
        <v>45153</v>
      </c>
      <c r="L165" s="21">
        <v>1319</v>
      </c>
      <c r="M165" s="8">
        <v>45182</v>
      </c>
      <c r="N165" s="21">
        <v>1319</v>
      </c>
      <c r="O165" s="8">
        <v>45197</v>
      </c>
      <c r="P165" s="21">
        <v>1319</v>
      </c>
      <c r="Q165" s="8">
        <v>45212</v>
      </c>
      <c r="R165" s="28">
        <v>1319</v>
      </c>
    </row>
    <row r="166" spans="1:18">
      <c r="A166" s="1" t="s">
        <v>303</v>
      </c>
      <c r="B166" s="6" t="s">
        <v>36</v>
      </c>
      <c r="C166" s="7">
        <v>45384</v>
      </c>
      <c r="D166" s="25">
        <f t="shared" si="4"/>
        <v>4</v>
      </c>
      <c r="E166" s="25">
        <f t="shared" si="5"/>
        <v>2024</v>
      </c>
      <c r="F166" s="7" t="s">
        <v>85</v>
      </c>
      <c r="G166" s="4" t="s">
        <v>111</v>
      </c>
      <c r="H166" s="4" t="s">
        <v>120</v>
      </c>
      <c r="I166" s="9">
        <v>2495</v>
      </c>
      <c r="J166" s="9" t="s">
        <v>137</v>
      </c>
      <c r="K166" s="8">
        <v>45385</v>
      </c>
      <c r="L166" s="21">
        <v>831.66666666666663</v>
      </c>
      <c r="M166" s="8">
        <v>45414</v>
      </c>
      <c r="N166" s="21">
        <v>831.66666666666663</v>
      </c>
      <c r="O166" s="8">
        <v>45429</v>
      </c>
      <c r="P166" s="21">
        <v>831.66666666666663</v>
      </c>
      <c r="Q166" s="8"/>
      <c r="R166" s="28"/>
    </row>
    <row r="167" spans="1:18">
      <c r="A167" s="1" t="s">
        <v>304</v>
      </c>
      <c r="B167" s="6" t="s">
        <v>32</v>
      </c>
      <c r="C167" s="7">
        <v>45206</v>
      </c>
      <c r="D167" s="25">
        <f t="shared" si="4"/>
        <v>10</v>
      </c>
      <c r="E167" s="25">
        <f t="shared" si="5"/>
        <v>2023</v>
      </c>
      <c r="F167" s="7" t="s">
        <v>81</v>
      </c>
      <c r="G167" s="4" t="s">
        <v>110</v>
      </c>
      <c r="H167" s="4" t="s">
        <v>124</v>
      </c>
      <c r="I167" s="9">
        <v>4841</v>
      </c>
      <c r="J167" s="9" t="s">
        <v>126</v>
      </c>
      <c r="K167" s="8">
        <v>45207</v>
      </c>
      <c r="L167" s="21">
        <v>4841</v>
      </c>
      <c r="M167" s="8"/>
      <c r="N167" s="21"/>
      <c r="O167" s="8"/>
      <c r="P167" s="21"/>
      <c r="Q167" s="8"/>
      <c r="R167" s="28"/>
    </row>
    <row r="168" spans="1:18">
      <c r="A168" s="1" t="s">
        <v>305</v>
      </c>
      <c r="B168" s="6" t="s">
        <v>20</v>
      </c>
      <c r="C168" s="7">
        <v>45247</v>
      </c>
      <c r="D168" s="25">
        <f t="shared" si="4"/>
        <v>11</v>
      </c>
      <c r="E168" s="25">
        <f t="shared" si="5"/>
        <v>2023</v>
      </c>
      <c r="F168" s="7" t="s">
        <v>69</v>
      </c>
      <c r="G168" s="4" t="s">
        <v>111</v>
      </c>
      <c r="H168" s="4" t="s">
        <v>117</v>
      </c>
      <c r="I168" s="9">
        <v>2405</v>
      </c>
      <c r="J168" s="9" t="s">
        <v>136</v>
      </c>
      <c r="K168" s="8">
        <v>45248</v>
      </c>
      <c r="L168" s="21">
        <v>601.25</v>
      </c>
      <c r="M168" s="8">
        <v>45277</v>
      </c>
      <c r="N168" s="21">
        <v>601.25</v>
      </c>
      <c r="O168" s="8">
        <v>45292</v>
      </c>
      <c r="P168" s="21">
        <v>601.25</v>
      </c>
      <c r="Q168" s="8">
        <v>45307</v>
      </c>
      <c r="R168" s="28">
        <v>601.25</v>
      </c>
    </row>
    <row r="169" spans="1:18">
      <c r="A169" s="1" t="s">
        <v>306</v>
      </c>
      <c r="B169" s="6" t="s">
        <v>50</v>
      </c>
      <c r="C169" s="7">
        <v>45346</v>
      </c>
      <c r="D169" s="25">
        <f t="shared" si="4"/>
        <v>2</v>
      </c>
      <c r="E169" s="25">
        <f t="shared" si="5"/>
        <v>2024</v>
      </c>
      <c r="F169" s="7" t="s">
        <v>99</v>
      </c>
      <c r="G169" s="4" t="s">
        <v>110</v>
      </c>
      <c r="H169" s="4" t="s">
        <v>114</v>
      </c>
      <c r="I169" s="9">
        <v>2708</v>
      </c>
      <c r="J169" s="9" t="s">
        <v>137</v>
      </c>
      <c r="K169" s="8">
        <v>45347</v>
      </c>
      <c r="L169" s="21">
        <v>902.66666666666663</v>
      </c>
      <c r="M169" s="8">
        <v>45376</v>
      </c>
      <c r="N169" s="21">
        <v>902.66666666666663</v>
      </c>
      <c r="O169" s="8">
        <v>45391</v>
      </c>
      <c r="P169" s="21">
        <v>902.66666666666663</v>
      </c>
      <c r="Q169" s="8"/>
      <c r="R169" s="28"/>
    </row>
    <row r="170" spans="1:18">
      <c r="A170" s="1" t="s">
        <v>307</v>
      </c>
      <c r="B170" s="6" t="s">
        <v>59</v>
      </c>
      <c r="C170" s="7">
        <v>45249</v>
      </c>
      <c r="D170" s="25">
        <f t="shared" si="4"/>
        <v>11</v>
      </c>
      <c r="E170" s="25">
        <f t="shared" si="5"/>
        <v>2023</v>
      </c>
      <c r="F170" s="7" t="s">
        <v>108</v>
      </c>
      <c r="G170" s="4" t="s">
        <v>111</v>
      </c>
      <c r="H170" s="4" t="s">
        <v>121</v>
      </c>
      <c r="I170" s="9">
        <v>5056</v>
      </c>
      <c r="J170" s="9" t="s">
        <v>137</v>
      </c>
      <c r="K170" s="8">
        <v>45250</v>
      </c>
      <c r="L170" s="21">
        <v>1685.3333333333333</v>
      </c>
      <c r="M170" s="8">
        <v>45279</v>
      </c>
      <c r="N170" s="21">
        <v>1685.3333333333333</v>
      </c>
      <c r="O170" s="8">
        <v>45294</v>
      </c>
      <c r="P170" s="21">
        <v>1685.3333333333333</v>
      </c>
      <c r="Q170" s="8"/>
      <c r="R170" s="28"/>
    </row>
    <row r="171" spans="1:18">
      <c r="A171" s="1" t="s">
        <v>308</v>
      </c>
      <c r="B171" s="6" t="s">
        <v>43</v>
      </c>
      <c r="C171" s="7">
        <v>45110</v>
      </c>
      <c r="D171" s="25">
        <f t="shared" si="4"/>
        <v>7</v>
      </c>
      <c r="E171" s="25">
        <f t="shared" si="5"/>
        <v>2023</v>
      </c>
      <c r="F171" s="7" t="s">
        <v>92</v>
      </c>
      <c r="G171" s="4" t="s">
        <v>110</v>
      </c>
      <c r="H171" s="4" t="s">
        <v>124</v>
      </c>
      <c r="I171" s="9">
        <v>8323</v>
      </c>
      <c r="J171" s="9" t="s">
        <v>138</v>
      </c>
      <c r="K171" s="8">
        <v>45111</v>
      </c>
      <c r="L171" s="21">
        <v>4161.5</v>
      </c>
      <c r="M171" s="8">
        <v>45140</v>
      </c>
      <c r="N171" s="21">
        <v>4161.5</v>
      </c>
      <c r="O171" s="8"/>
      <c r="P171" s="21"/>
      <c r="Q171" s="8"/>
      <c r="R171" s="28"/>
    </row>
    <row r="172" spans="1:18">
      <c r="A172" s="1" t="s">
        <v>309</v>
      </c>
      <c r="B172" s="6" t="s">
        <v>39</v>
      </c>
      <c r="C172" s="7">
        <v>45202</v>
      </c>
      <c r="D172" s="25">
        <f t="shared" si="4"/>
        <v>10</v>
      </c>
      <c r="E172" s="25">
        <f t="shared" si="5"/>
        <v>2023</v>
      </c>
      <c r="F172" s="7" t="s">
        <v>88</v>
      </c>
      <c r="G172" s="4" t="s">
        <v>110</v>
      </c>
      <c r="H172" s="4" t="s">
        <v>114</v>
      </c>
      <c r="I172" s="9">
        <v>4870</v>
      </c>
      <c r="J172" s="9" t="s">
        <v>126</v>
      </c>
      <c r="K172" s="8">
        <v>45203</v>
      </c>
      <c r="L172" s="21">
        <v>4870</v>
      </c>
      <c r="M172" s="8"/>
      <c r="N172" s="21"/>
      <c r="O172" s="8"/>
      <c r="P172" s="21"/>
      <c r="Q172" s="8"/>
      <c r="R172" s="28"/>
    </row>
    <row r="173" spans="1:18">
      <c r="A173" s="1" t="s">
        <v>310</v>
      </c>
      <c r="B173" s="6" t="s">
        <v>27</v>
      </c>
      <c r="C173" s="7">
        <v>45429</v>
      </c>
      <c r="D173" s="25">
        <f t="shared" si="4"/>
        <v>5</v>
      </c>
      <c r="E173" s="25">
        <f t="shared" si="5"/>
        <v>2024</v>
      </c>
      <c r="F173" s="7" t="s">
        <v>76</v>
      </c>
      <c r="G173" s="4" t="s">
        <v>110</v>
      </c>
      <c r="H173" s="4" t="s">
        <v>125</v>
      </c>
      <c r="I173" s="9">
        <v>5610</v>
      </c>
      <c r="J173" s="9" t="s">
        <v>137</v>
      </c>
      <c r="K173" s="8">
        <v>45430</v>
      </c>
      <c r="L173" s="21">
        <v>1870</v>
      </c>
      <c r="M173" s="8">
        <v>45459</v>
      </c>
      <c r="N173" s="21">
        <v>1870</v>
      </c>
      <c r="O173" s="8">
        <v>45474</v>
      </c>
      <c r="P173" s="21">
        <v>1870</v>
      </c>
      <c r="Q173" s="8"/>
      <c r="R173" s="28"/>
    </row>
    <row r="174" spans="1:18">
      <c r="A174" s="1" t="s">
        <v>311</v>
      </c>
      <c r="B174" s="6" t="s">
        <v>19</v>
      </c>
      <c r="C174" s="7">
        <v>45344</v>
      </c>
      <c r="D174" s="25">
        <f t="shared" si="4"/>
        <v>2</v>
      </c>
      <c r="E174" s="25">
        <f t="shared" si="5"/>
        <v>2024</v>
      </c>
      <c r="F174" s="7" t="s">
        <v>68</v>
      </c>
      <c r="G174" s="4" t="s">
        <v>111</v>
      </c>
      <c r="H174" s="4" t="s">
        <v>118</v>
      </c>
      <c r="I174" s="9">
        <v>4186</v>
      </c>
      <c r="J174" s="9" t="s">
        <v>137</v>
      </c>
      <c r="K174" s="8">
        <v>45345</v>
      </c>
      <c r="L174" s="21">
        <v>1395.3333333333333</v>
      </c>
      <c r="M174" s="8">
        <v>45374</v>
      </c>
      <c r="N174" s="21">
        <v>1395.3333333333333</v>
      </c>
      <c r="O174" s="8">
        <v>45389</v>
      </c>
      <c r="P174" s="21">
        <v>1395.3333333333333</v>
      </c>
      <c r="Q174" s="8"/>
      <c r="R174" s="28"/>
    </row>
    <row r="175" spans="1:18">
      <c r="A175" s="1" t="s">
        <v>312</v>
      </c>
      <c r="B175" s="6" t="s">
        <v>56</v>
      </c>
      <c r="C175" s="7">
        <v>45324</v>
      </c>
      <c r="D175" s="25">
        <f t="shared" si="4"/>
        <v>2</v>
      </c>
      <c r="E175" s="25">
        <f t="shared" si="5"/>
        <v>2024</v>
      </c>
      <c r="F175" s="7" t="s">
        <v>105</v>
      </c>
      <c r="G175" s="4" t="s">
        <v>110</v>
      </c>
      <c r="H175" s="4" t="s">
        <v>113</v>
      </c>
      <c r="I175" s="9">
        <v>2499</v>
      </c>
      <c r="J175" s="9" t="s">
        <v>126</v>
      </c>
      <c r="K175" s="8">
        <v>45325</v>
      </c>
      <c r="L175" s="21">
        <v>2499</v>
      </c>
      <c r="M175" s="8"/>
      <c r="N175" s="21"/>
      <c r="O175" s="8"/>
      <c r="P175" s="21"/>
      <c r="Q175" s="8"/>
      <c r="R175" s="28"/>
    </row>
    <row r="176" spans="1:18">
      <c r="A176" s="1" t="s">
        <v>313</v>
      </c>
      <c r="B176" s="6" t="s">
        <v>30</v>
      </c>
      <c r="C176" s="7">
        <v>45135</v>
      </c>
      <c r="D176" s="25">
        <f t="shared" si="4"/>
        <v>7</v>
      </c>
      <c r="E176" s="25">
        <f t="shared" si="5"/>
        <v>2023</v>
      </c>
      <c r="F176" s="7" t="s">
        <v>79</v>
      </c>
      <c r="G176" s="4" t="s">
        <v>111</v>
      </c>
      <c r="H176" s="4" t="s">
        <v>118</v>
      </c>
      <c r="I176" s="9">
        <v>3053</v>
      </c>
      <c r="J176" s="9" t="s">
        <v>138</v>
      </c>
      <c r="K176" s="8">
        <v>45136</v>
      </c>
      <c r="L176" s="21">
        <v>1526.5</v>
      </c>
      <c r="M176" s="8">
        <v>45165</v>
      </c>
      <c r="N176" s="21">
        <v>1526.5</v>
      </c>
      <c r="O176" s="8"/>
      <c r="P176" s="21"/>
      <c r="Q176" s="8"/>
      <c r="R176" s="28"/>
    </row>
    <row r="177" spans="1:18">
      <c r="A177" s="1" t="s">
        <v>314</v>
      </c>
      <c r="B177" s="6" t="s">
        <v>20</v>
      </c>
      <c r="C177" s="7">
        <v>45192</v>
      </c>
      <c r="D177" s="25">
        <f t="shared" si="4"/>
        <v>9</v>
      </c>
      <c r="E177" s="25">
        <f t="shared" si="5"/>
        <v>2023</v>
      </c>
      <c r="F177" s="7" t="s">
        <v>69</v>
      </c>
      <c r="G177" s="4" t="s">
        <v>111</v>
      </c>
      <c r="H177" s="4" t="s">
        <v>117</v>
      </c>
      <c r="I177" s="9">
        <v>2786</v>
      </c>
      <c r="J177" s="9" t="s">
        <v>136</v>
      </c>
      <c r="K177" s="8">
        <v>45193</v>
      </c>
      <c r="L177" s="21">
        <v>696.5</v>
      </c>
      <c r="M177" s="8">
        <v>45222</v>
      </c>
      <c r="N177" s="21">
        <v>696.5</v>
      </c>
      <c r="O177" s="8">
        <v>45237</v>
      </c>
      <c r="P177" s="21">
        <v>696.5</v>
      </c>
      <c r="Q177" s="8">
        <v>45252</v>
      </c>
      <c r="R177" s="28">
        <v>696.5</v>
      </c>
    </row>
    <row r="178" spans="1:18">
      <c r="A178" s="1" t="s">
        <v>315</v>
      </c>
      <c r="B178" s="6" t="s">
        <v>32</v>
      </c>
      <c r="C178" s="7">
        <v>45202</v>
      </c>
      <c r="D178" s="25">
        <f t="shared" si="4"/>
        <v>10</v>
      </c>
      <c r="E178" s="25">
        <f t="shared" si="5"/>
        <v>2023</v>
      </c>
      <c r="F178" s="7" t="s">
        <v>81</v>
      </c>
      <c r="G178" s="4" t="s">
        <v>110</v>
      </c>
      <c r="H178" s="4" t="s">
        <v>124</v>
      </c>
      <c r="I178" s="9">
        <v>5235</v>
      </c>
      <c r="J178" s="9" t="s">
        <v>136</v>
      </c>
      <c r="K178" s="8">
        <v>45203</v>
      </c>
      <c r="L178" s="21">
        <v>1308.75</v>
      </c>
      <c r="M178" s="8">
        <v>45232</v>
      </c>
      <c r="N178" s="21">
        <v>1308.75</v>
      </c>
      <c r="O178" s="8">
        <v>45247</v>
      </c>
      <c r="P178" s="21">
        <v>1308.75</v>
      </c>
      <c r="Q178" s="8">
        <v>45262</v>
      </c>
      <c r="R178" s="28">
        <v>1308.75</v>
      </c>
    </row>
    <row r="179" spans="1:18">
      <c r="A179" s="1" t="s">
        <v>316</v>
      </c>
      <c r="B179" s="6" t="s">
        <v>19</v>
      </c>
      <c r="C179" s="7">
        <v>45356</v>
      </c>
      <c r="D179" s="25">
        <f t="shared" si="4"/>
        <v>3</v>
      </c>
      <c r="E179" s="25">
        <f t="shared" si="5"/>
        <v>2024</v>
      </c>
      <c r="F179" s="7" t="s">
        <v>68</v>
      </c>
      <c r="G179" s="4" t="s">
        <v>111</v>
      </c>
      <c r="H179" s="4" t="s">
        <v>118</v>
      </c>
      <c r="I179" s="9">
        <v>7659</v>
      </c>
      <c r="J179" s="9" t="s">
        <v>136</v>
      </c>
      <c r="K179" s="8">
        <v>45357</v>
      </c>
      <c r="L179" s="21">
        <v>1914.75</v>
      </c>
      <c r="M179" s="8">
        <v>45386</v>
      </c>
      <c r="N179" s="21">
        <v>1914.75</v>
      </c>
      <c r="O179" s="8">
        <v>45401</v>
      </c>
      <c r="P179" s="21">
        <v>1914.75</v>
      </c>
      <c r="Q179" s="8">
        <v>45416</v>
      </c>
      <c r="R179" s="28">
        <v>1914.75</v>
      </c>
    </row>
    <row r="180" spans="1:18">
      <c r="A180" s="1" t="s">
        <v>317</v>
      </c>
      <c r="B180" s="6" t="s">
        <v>12</v>
      </c>
      <c r="C180" s="7">
        <v>45381</v>
      </c>
      <c r="D180" s="25">
        <f t="shared" si="4"/>
        <v>3</v>
      </c>
      <c r="E180" s="25">
        <f t="shared" si="5"/>
        <v>2024</v>
      </c>
      <c r="F180" s="7" t="s">
        <v>62</v>
      </c>
      <c r="G180" s="4" t="s">
        <v>112</v>
      </c>
      <c r="H180" s="4" t="s">
        <v>122</v>
      </c>
      <c r="I180" s="9">
        <v>592</v>
      </c>
      <c r="J180" s="9" t="s">
        <v>126</v>
      </c>
      <c r="K180" s="8">
        <v>45382</v>
      </c>
      <c r="L180" s="21">
        <v>592</v>
      </c>
      <c r="M180" s="8"/>
      <c r="N180" s="21"/>
      <c r="O180" s="8"/>
      <c r="P180" s="21"/>
      <c r="Q180" s="8"/>
      <c r="R180" s="28"/>
    </row>
    <row r="181" spans="1:18">
      <c r="A181" s="1" t="s">
        <v>318</v>
      </c>
      <c r="B181" s="6" t="s">
        <v>52</v>
      </c>
      <c r="C181" s="7">
        <v>45066</v>
      </c>
      <c r="D181" s="25">
        <f t="shared" si="4"/>
        <v>5</v>
      </c>
      <c r="E181" s="25">
        <f t="shared" si="5"/>
        <v>2023</v>
      </c>
      <c r="F181" s="7" t="s">
        <v>101</v>
      </c>
      <c r="G181" s="4" t="s">
        <v>111</v>
      </c>
      <c r="H181" s="4" t="s">
        <v>118</v>
      </c>
      <c r="I181" s="9">
        <v>6838</v>
      </c>
      <c r="J181" s="9" t="s">
        <v>126</v>
      </c>
      <c r="K181" s="8">
        <v>45067</v>
      </c>
      <c r="L181" s="21">
        <v>6838</v>
      </c>
      <c r="M181" s="8"/>
      <c r="N181" s="21"/>
      <c r="O181" s="8"/>
      <c r="P181" s="21"/>
      <c r="Q181" s="8"/>
      <c r="R181" s="28"/>
    </row>
    <row r="182" spans="1:18">
      <c r="A182" s="1" t="s">
        <v>319</v>
      </c>
      <c r="B182" s="6" t="s">
        <v>60</v>
      </c>
      <c r="C182" s="7">
        <v>45349</v>
      </c>
      <c r="D182" s="25">
        <f t="shared" si="4"/>
        <v>2</v>
      </c>
      <c r="E182" s="25">
        <f t="shared" si="5"/>
        <v>2024</v>
      </c>
      <c r="F182" s="7" t="s">
        <v>109</v>
      </c>
      <c r="G182" s="4" t="s">
        <v>111</v>
      </c>
      <c r="H182" s="4" t="s">
        <v>118</v>
      </c>
      <c r="I182" s="9">
        <v>7867</v>
      </c>
      <c r="J182" s="9" t="s">
        <v>137</v>
      </c>
      <c r="K182" s="8">
        <v>45350</v>
      </c>
      <c r="L182" s="21">
        <v>2622.3333333333335</v>
      </c>
      <c r="M182" s="8">
        <v>45379</v>
      </c>
      <c r="N182" s="21">
        <v>2622.3333333333335</v>
      </c>
      <c r="O182" s="8">
        <v>45394</v>
      </c>
      <c r="P182" s="21">
        <v>2622.3333333333335</v>
      </c>
      <c r="Q182" s="8"/>
      <c r="R182" s="28"/>
    </row>
    <row r="183" spans="1:18">
      <c r="A183" s="1" t="s">
        <v>320</v>
      </c>
      <c r="B183" s="6" t="s">
        <v>23</v>
      </c>
      <c r="C183" s="7">
        <v>45382</v>
      </c>
      <c r="D183" s="25">
        <f t="shared" si="4"/>
        <v>3</v>
      </c>
      <c r="E183" s="25">
        <f t="shared" si="5"/>
        <v>2024</v>
      </c>
      <c r="F183" s="7" t="s">
        <v>72</v>
      </c>
      <c r="G183" s="4" t="s">
        <v>110</v>
      </c>
      <c r="H183" s="4" t="s">
        <v>113</v>
      </c>
      <c r="I183" s="9">
        <v>7106</v>
      </c>
      <c r="J183" s="9" t="s">
        <v>137</v>
      </c>
      <c r="K183" s="8">
        <v>45383</v>
      </c>
      <c r="L183" s="21">
        <v>2368.6666666666665</v>
      </c>
      <c r="M183" s="8">
        <v>45412</v>
      </c>
      <c r="N183" s="21">
        <v>2368.6666666666665</v>
      </c>
      <c r="O183" s="8">
        <v>45427</v>
      </c>
      <c r="P183" s="21">
        <v>2368.6666666666665</v>
      </c>
      <c r="Q183" s="8"/>
      <c r="R183" s="28"/>
    </row>
    <row r="184" spans="1:18">
      <c r="A184" s="1" t="s">
        <v>321</v>
      </c>
      <c r="B184" s="6" t="s">
        <v>54</v>
      </c>
      <c r="C184" s="7">
        <v>45156</v>
      </c>
      <c r="D184" s="25">
        <f t="shared" si="4"/>
        <v>8</v>
      </c>
      <c r="E184" s="25">
        <f t="shared" si="5"/>
        <v>2023</v>
      </c>
      <c r="F184" s="7" t="s">
        <v>103</v>
      </c>
      <c r="G184" s="4" t="s">
        <v>110</v>
      </c>
      <c r="H184" s="4" t="s">
        <v>124</v>
      </c>
      <c r="I184" s="9">
        <v>6679</v>
      </c>
      <c r="J184" s="9" t="s">
        <v>137</v>
      </c>
      <c r="K184" s="8">
        <v>45157</v>
      </c>
      <c r="L184" s="21">
        <v>2226.3333333333335</v>
      </c>
      <c r="M184" s="8">
        <v>45186</v>
      </c>
      <c r="N184" s="21">
        <v>2226.3333333333335</v>
      </c>
      <c r="O184" s="8">
        <v>45201</v>
      </c>
      <c r="P184" s="21">
        <v>2226.3333333333335</v>
      </c>
      <c r="Q184" s="8"/>
      <c r="R184" s="28"/>
    </row>
    <row r="185" spans="1:18">
      <c r="A185" s="1" t="s">
        <v>322</v>
      </c>
      <c r="B185" s="6" t="s">
        <v>49</v>
      </c>
      <c r="C185" s="7">
        <v>45235</v>
      </c>
      <c r="D185" s="25">
        <f t="shared" si="4"/>
        <v>11</v>
      </c>
      <c r="E185" s="25">
        <f t="shared" si="5"/>
        <v>2023</v>
      </c>
      <c r="F185" s="7" t="s">
        <v>98</v>
      </c>
      <c r="G185" s="4" t="s">
        <v>110</v>
      </c>
      <c r="H185" s="4" t="s">
        <v>125</v>
      </c>
      <c r="I185" s="9">
        <v>401</v>
      </c>
      <c r="J185" s="9" t="s">
        <v>126</v>
      </c>
      <c r="K185" s="8">
        <v>45236</v>
      </c>
      <c r="L185" s="21">
        <v>401</v>
      </c>
      <c r="M185" s="8"/>
      <c r="N185" s="21"/>
      <c r="O185" s="8"/>
      <c r="P185" s="21"/>
      <c r="Q185" s="8"/>
      <c r="R185" s="28"/>
    </row>
    <row r="186" spans="1:18">
      <c r="A186" s="1" t="s">
        <v>323</v>
      </c>
      <c r="B186" s="6" t="s">
        <v>31</v>
      </c>
      <c r="C186" s="7">
        <v>45261</v>
      </c>
      <c r="D186" s="25">
        <f t="shared" si="4"/>
        <v>12</v>
      </c>
      <c r="E186" s="25">
        <f t="shared" si="5"/>
        <v>2023</v>
      </c>
      <c r="F186" s="7" t="s">
        <v>80</v>
      </c>
      <c r="G186" s="4" t="s">
        <v>111</v>
      </c>
      <c r="H186" s="4" t="s">
        <v>117</v>
      </c>
      <c r="I186" s="9">
        <v>9190</v>
      </c>
      <c r="J186" s="9" t="s">
        <v>138</v>
      </c>
      <c r="K186" s="8">
        <v>45262</v>
      </c>
      <c r="L186" s="21">
        <v>4595</v>
      </c>
      <c r="M186" s="8">
        <v>45291</v>
      </c>
      <c r="N186" s="21">
        <v>4595</v>
      </c>
      <c r="O186" s="8"/>
      <c r="P186" s="21"/>
      <c r="Q186" s="8"/>
      <c r="R186" s="28"/>
    </row>
    <row r="187" spans="1:18">
      <c r="A187" s="1" t="s">
        <v>324</v>
      </c>
      <c r="B187" s="6" t="s">
        <v>26</v>
      </c>
      <c r="C187" s="7">
        <v>45226</v>
      </c>
      <c r="D187" s="25">
        <f t="shared" si="4"/>
        <v>10</v>
      </c>
      <c r="E187" s="25">
        <f t="shared" si="5"/>
        <v>2023</v>
      </c>
      <c r="F187" s="7" t="s">
        <v>75</v>
      </c>
      <c r="G187" s="4" t="s">
        <v>112</v>
      </c>
      <c r="H187" s="4" t="s">
        <v>123</v>
      </c>
      <c r="I187" s="9">
        <v>6129</v>
      </c>
      <c r="J187" s="9" t="s">
        <v>126</v>
      </c>
      <c r="K187" s="8">
        <v>45227</v>
      </c>
      <c r="L187" s="21">
        <v>6129</v>
      </c>
      <c r="M187" s="8"/>
      <c r="N187" s="21"/>
      <c r="O187" s="8"/>
      <c r="P187" s="21"/>
      <c r="Q187" s="8"/>
      <c r="R187" s="28"/>
    </row>
    <row r="188" spans="1:18">
      <c r="A188" s="1" t="s">
        <v>325</v>
      </c>
      <c r="B188" s="6" t="s">
        <v>25</v>
      </c>
      <c r="C188" s="7">
        <v>45172</v>
      </c>
      <c r="D188" s="25">
        <f t="shared" si="4"/>
        <v>9</v>
      </c>
      <c r="E188" s="25">
        <f t="shared" si="5"/>
        <v>2023</v>
      </c>
      <c r="F188" s="7" t="s">
        <v>74</v>
      </c>
      <c r="G188" s="4" t="s">
        <v>111</v>
      </c>
      <c r="H188" s="4" t="s">
        <v>120</v>
      </c>
      <c r="I188" s="9">
        <v>4180</v>
      </c>
      <c r="J188" s="9" t="s">
        <v>137</v>
      </c>
      <c r="K188" s="8">
        <v>45173</v>
      </c>
      <c r="L188" s="21">
        <v>1393.3333333333333</v>
      </c>
      <c r="M188" s="8">
        <v>45202</v>
      </c>
      <c r="N188" s="21">
        <v>1393.3333333333333</v>
      </c>
      <c r="O188" s="8">
        <v>45217</v>
      </c>
      <c r="P188" s="21">
        <v>1393.3333333333333</v>
      </c>
      <c r="Q188" s="8"/>
      <c r="R188" s="28"/>
    </row>
    <row r="189" spans="1:18">
      <c r="A189" s="1" t="s">
        <v>326</v>
      </c>
      <c r="B189" s="6" t="s">
        <v>53</v>
      </c>
      <c r="C189" s="7">
        <v>45278</v>
      </c>
      <c r="D189" s="25">
        <f t="shared" si="4"/>
        <v>12</v>
      </c>
      <c r="E189" s="25">
        <f t="shared" si="5"/>
        <v>2023</v>
      </c>
      <c r="F189" s="7" t="s">
        <v>102</v>
      </c>
      <c r="G189" s="4" t="s">
        <v>111</v>
      </c>
      <c r="H189" s="4" t="s">
        <v>117</v>
      </c>
      <c r="I189" s="9">
        <v>9950</v>
      </c>
      <c r="J189" s="9" t="s">
        <v>126</v>
      </c>
      <c r="K189" s="8">
        <v>45279</v>
      </c>
      <c r="L189" s="21">
        <v>9950</v>
      </c>
      <c r="M189" s="8"/>
      <c r="N189" s="21"/>
      <c r="O189" s="8"/>
      <c r="P189" s="21"/>
      <c r="Q189" s="8"/>
      <c r="R189" s="28"/>
    </row>
    <row r="190" spans="1:18">
      <c r="A190" s="1" t="s">
        <v>327</v>
      </c>
      <c r="B190" s="6" t="s">
        <v>28</v>
      </c>
      <c r="C190" s="7">
        <v>45366</v>
      </c>
      <c r="D190" s="25">
        <f t="shared" si="4"/>
        <v>3</v>
      </c>
      <c r="E190" s="25">
        <f t="shared" si="5"/>
        <v>2024</v>
      </c>
      <c r="F190" s="7" t="s">
        <v>77</v>
      </c>
      <c r="G190" s="4" t="s">
        <v>110</v>
      </c>
      <c r="H190" s="4" t="s">
        <v>114</v>
      </c>
      <c r="I190" s="9">
        <v>5802</v>
      </c>
      <c r="J190" s="9" t="s">
        <v>126</v>
      </c>
      <c r="K190" s="8">
        <v>45367</v>
      </c>
      <c r="L190" s="21">
        <v>5802</v>
      </c>
      <c r="M190" s="8"/>
      <c r="N190" s="21"/>
      <c r="O190" s="8"/>
      <c r="P190" s="21"/>
      <c r="Q190" s="8"/>
      <c r="R190" s="28"/>
    </row>
    <row r="191" spans="1:18">
      <c r="A191" s="1" t="s">
        <v>328</v>
      </c>
      <c r="B191" s="6" t="s">
        <v>47</v>
      </c>
      <c r="C191" s="7">
        <v>45370</v>
      </c>
      <c r="D191" s="25">
        <f t="shared" si="4"/>
        <v>3</v>
      </c>
      <c r="E191" s="25">
        <f t="shared" si="5"/>
        <v>2024</v>
      </c>
      <c r="F191" s="7" t="s">
        <v>96</v>
      </c>
      <c r="G191" s="4" t="s">
        <v>111</v>
      </c>
      <c r="H191" s="4" t="s">
        <v>120</v>
      </c>
      <c r="I191" s="9">
        <v>9484</v>
      </c>
      <c r="J191" s="9" t="s">
        <v>126</v>
      </c>
      <c r="K191" s="8">
        <v>45371</v>
      </c>
      <c r="L191" s="21">
        <v>9484</v>
      </c>
      <c r="M191" s="8"/>
      <c r="N191" s="21"/>
      <c r="O191" s="8"/>
      <c r="P191" s="21"/>
      <c r="Q191" s="8"/>
      <c r="R191" s="28"/>
    </row>
    <row r="192" spans="1:18">
      <c r="A192" s="1" t="s">
        <v>329</v>
      </c>
      <c r="B192" s="6" t="s">
        <v>49</v>
      </c>
      <c r="C192" s="7">
        <v>45410</v>
      </c>
      <c r="D192" s="25">
        <f t="shared" si="4"/>
        <v>4</v>
      </c>
      <c r="E192" s="25">
        <f t="shared" si="5"/>
        <v>2024</v>
      </c>
      <c r="F192" s="7" t="s">
        <v>98</v>
      </c>
      <c r="G192" s="4" t="s">
        <v>110</v>
      </c>
      <c r="H192" s="4" t="s">
        <v>125</v>
      </c>
      <c r="I192" s="9">
        <v>2504</v>
      </c>
      <c r="J192" s="9" t="s">
        <v>136</v>
      </c>
      <c r="K192" s="8">
        <v>45411</v>
      </c>
      <c r="L192" s="21">
        <v>626</v>
      </c>
      <c r="M192" s="8">
        <v>45440</v>
      </c>
      <c r="N192" s="21">
        <v>626</v>
      </c>
      <c r="O192" s="8">
        <v>45455</v>
      </c>
      <c r="P192" s="21">
        <v>626</v>
      </c>
      <c r="Q192" s="8">
        <v>45470</v>
      </c>
      <c r="R192" s="28">
        <v>626</v>
      </c>
    </row>
    <row r="193" spans="1:18">
      <c r="A193" s="1" t="s">
        <v>330</v>
      </c>
      <c r="B193" s="6" t="s">
        <v>44</v>
      </c>
      <c r="C193" s="7">
        <v>45187</v>
      </c>
      <c r="D193" s="25">
        <f t="shared" si="4"/>
        <v>9</v>
      </c>
      <c r="E193" s="25">
        <f t="shared" si="5"/>
        <v>2023</v>
      </c>
      <c r="F193" s="7" t="s">
        <v>93</v>
      </c>
      <c r="G193" s="4" t="s">
        <v>111</v>
      </c>
      <c r="H193" s="4" t="s">
        <v>119</v>
      </c>
      <c r="I193" s="9">
        <v>8677</v>
      </c>
      <c r="J193" s="9" t="s">
        <v>137</v>
      </c>
      <c r="K193" s="8">
        <v>45188</v>
      </c>
      <c r="L193" s="21">
        <v>2892.3333333333335</v>
      </c>
      <c r="M193" s="8">
        <v>45217</v>
      </c>
      <c r="N193" s="21">
        <v>2892.3333333333335</v>
      </c>
      <c r="O193" s="8">
        <v>45232</v>
      </c>
      <c r="P193" s="21">
        <v>2892.3333333333335</v>
      </c>
      <c r="Q193" s="8"/>
      <c r="R193" s="28"/>
    </row>
    <row r="194" spans="1:18">
      <c r="A194" s="1" t="s">
        <v>331</v>
      </c>
      <c r="B194" s="6" t="s">
        <v>41</v>
      </c>
      <c r="C194" s="7">
        <v>45318</v>
      </c>
      <c r="D194" s="25">
        <f t="shared" si="4"/>
        <v>1</v>
      </c>
      <c r="E194" s="25">
        <f t="shared" si="5"/>
        <v>2024</v>
      </c>
      <c r="F194" s="7" t="s">
        <v>90</v>
      </c>
      <c r="G194" s="4" t="s">
        <v>111</v>
      </c>
      <c r="H194" s="4" t="s">
        <v>118</v>
      </c>
      <c r="I194" s="9">
        <v>1893</v>
      </c>
      <c r="J194" s="9" t="s">
        <v>126</v>
      </c>
      <c r="K194" s="8">
        <v>45319</v>
      </c>
      <c r="L194" s="21">
        <v>1893</v>
      </c>
      <c r="M194" s="8"/>
      <c r="N194" s="21"/>
      <c r="O194" s="8"/>
      <c r="P194" s="21"/>
      <c r="Q194" s="8"/>
      <c r="R194" s="28"/>
    </row>
    <row r="195" spans="1:18">
      <c r="A195" s="1" t="s">
        <v>332</v>
      </c>
      <c r="B195" s="6" t="s">
        <v>18</v>
      </c>
      <c r="C195" s="7">
        <v>45417</v>
      </c>
      <c r="D195" s="25">
        <f t="shared" si="4"/>
        <v>5</v>
      </c>
      <c r="E195" s="25">
        <f t="shared" si="5"/>
        <v>2024</v>
      </c>
      <c r="F195" s="7" t="s">
        <v>67</v>
      </c>
      <c r="G195" s="4" t="s">
        <v>111</v>
      </c>
      <c r="H195" s="4" t="s">
        <v>121</v>
      </c>
      <c r="I195" s="9">
        <v>8676</v>
      </c>
      <c r="J195" s="9" t="s">
        <v>126</v>
      </c>
      <c r="K195" s="8">
        <v>45418</v>
      </c>
      <c r="L195" s="21">
        <v>8676</v>
      </c>
      <c r="M195" s="8"/>
      <c r="N195" s="21"/>
      <c r="O195" s="8"/>
      <c r="P195" s="21"/>
      <c r="Q195" s="8"/>
      <c r="R195" s="28"/>
    </row>
    <row r="196" spans="1:18">
      <c r="A196" s="1" t="s">
        <v>333</v>
      </c>
      <c r="B196" s="6" t="s">
        <v>12</v>
      </c>
      <c r="C196" s="7">
        <v>45478</v>
      </c>
      <c r="D196" s="25">
        <f t="shared" ref="D196:D259" si="6">MONTH(C196)</f>
        <v>7</v>
      </c>
      <c r="E196" s="25">
        <f t="shared" ref="E196:E259" si="7">YEAR(C196)</f>
        <v>2024</v>
      </c>
      <c r="F196" s="7" t="s">
        <v>62</v>
      </c>
      <c r="G196" s="4" t="s">
        <v>112</v>
      </c>
      <c r="H196" s="4" t="s">
        <v>122</v>
      </c>
      <c r="I196" s="9">
        <v>5431</v>
      </c>
      <c r="J196" s="9" t="s">
        <v>126</v>
      </c>
      <c r="K196" s="8">
        <v>45479</v>
      </c>
      <c r="L196" s="21">
        <v>5431</v>
      </c>
      <c r="M196" s="8"/>
      <c r="N196" s="21"/>
      <c r="O196" s="8"/>
      <c r="P196" s="21"/>
      <c r="Q196" s="8"/>
      <c r="R196" s="28"/>
    </row>
    <row r="197" spans="1:18">
      <c r="A197" s="1" t="s">
        <v>334</v>
      </c>
      <c r="B197" s="6" t="s">
        <v>39</v>
      </c>
      <c r="C197" s="7">
        <v>45145</v>
      </c>
      <c r="D197" s="25">
        <f t="shared" si="6"/>
        <v>8</v>
      </c>
      <c r="E197" s="25">
        <f t="shared" si="7"/>
        <v>2023</v>
      </c>
      <c r="F197" s="7" t="s">
        <v>88</v>
      </c>
      <c r="G197" s="4" t="s">
        <v>110</v>
      </c>
      <c r="H197" s="4" t="s">
        <v>114</v>
      </c>
      <c r="I197" s="9">
        <v>1169</v>
      </c>
      <c r="J197" s="9" t="s">
        <v>126</v>
      </c>
      <c r="K197" s="8">
        <v>45146</v>
      </c>
      <c r="L197" s="21">
        <v>1169</v>
      </c>
      <c r="M197" s="8"/>
      <c r="N197" s="21"/>
      <c r="O197" s="8"/>
      <c r="P197" s="21"/>
      <c r="Q197" s="8"/>
      <c r="R197" s="28"/>
    </row>
    <row r="198" spans="1:18">
      <c r="A198" s="1" t="s">
        <v>335</v>
      </c>
      <c r="B198" s="6" t="s">
        <v>53</v>
      </c>
      <c r="C198" s="7">
        <v>45477</v>
      </c>
      <c r="D198" s="25">
        <f t="shared" si="6"/>
        <v>7</v>
      </c>
      <c r="E198" s="25">
        <f t="shared" si="7"/>
        <v>2024</v>
      </c>
      <c r="F198" s="7" t="s">
        <v>102</v>
      </c>
      <c r="G198" s="4" t="s">
        <v>111</v>
      </c>
      <c r="H198" s="4" t="s">
        <v>117</v>
      </c>
      <c r="I198" s="9">
        <v>7350</v>
      </c>
      <c r="J198" s="9" t="s">
        <v>136</v>
      </c>
      <c r="K198" s="8">
        <v>45478</v>
      </c>
      <c r="L198" s="21">
        <v>1837.5</v>
      </c>
      <c r="M198" s="8">
        <v>45507</v>
      </c>
      <c r="N198" s="21">
        <v>1837.5</v>
      </c>
      <c r="O198" s="8">
        <v>45522</v>
      </c>
      <c r="P198" s="21">
        <v>1837.5</v>
      </c>
      <c r="Q198" s="8">
        <v>45537</v>
      </c>
      <c r="R198" s="28">
        <v>1837.5</v>
      </c>
    </row>
    <row r="199" spans="1:18">
      <c r="A199" s="1" t="s">
        <v>336</v>
      </c>
      <c r="B199" s="6" t="s">
        <v>34</v>
      </c>
      <c r="C199" s="7">
        <v>45342</v>
      </c>
      <c r="D199" s="25">
        <f t="shared" si="6"/>
        <v>2</v>
      </c>
      <c r="E199" s="25">
        <f t="shared" si="7"/>
        <v>2024</v>
      </c>
      <c r="F199" s="7" t="s">
        <v>83</v>
      </c>
      <c r="G199" s="4" t="s">
        <v>110</v>
      </c>
      <c r="H199" s="4" t="s">
        <v>113</v>
      </c>
      <c r="I199" s="9">
        <v>2166</v>
      </c>
      <c r="J199" s="9" t="s">
        <v>137</v>
      </c>
      <c r="K199" s="8">
        <v>45343</v>
      </c>
      <c r="L199" s="21">
        <v>722</v>
      </c>
      <c r="M199" s="8">
        <v>45372</v>
      </c>
      <c r="N199" s="21">
        <v>722</v>
      </c>
      <c r="O199" s="8">
        <v>45387</v>
      </c>
      <c r="P199" s="21">
        <v>722</v>
      </c>
      <c r="Q199" s="8"/>
      <c r="R199" s="28"/>
    </row>
    <row r="200" spans="1:18">
      <c r="A200" s="1" t="s">
        <v>337</v>
      </c>
      <c r="B200" s="6" t="s">
        <v>13</v>
      </c>
      <c r="C200" s="7">
        <v>45359</v>
      </c>
      <c r="D200" s="25">
        <f t="shared" si="6"/>
        <v>3</v>
      </c>
      <c r="E200" s="25">
        <f t="shared" si="7"/>
        <v>2024</v>
      </c>
      <c r="F200" s="7" t="s">
        <v>63</v>
      </c>
      <c r="G200" s="4" t="s">
        <v>111</v>
      </c>
      <c r="H200" s="4" t="s">
        <v>120</v>
      </c>
      <c r="I200" s="9">
        <v>6253</v>
      </c>
      <c r="J200" s="9" t="s">
        <v>126</v>
      </c>
      <c r="K200" s="8">
        <v>45360</v>
      </c>
      <c r="L200" s="21">
        <v>6253</v>
      </c>
      <c r="M200" s="8"/>
      <c r="N200" s="21"/>
      <c r="O200" s="8"/>
      <c r="P200" s="21"/>
      <c r="Q200" s="8"/>
      <c r="R200" s="28"/>
    </row>
    <row r="201" spans="1:18">
      <c r="A201" s="1" t="s">
        <v>338</v>
      </c>
      <c r="B201" s="6" t="s">
        <v>21</v>
      </c>
      <c r="C201" s="7">
        <v>45347</v>
      </c>
      <c r="D201" s="25">
        <f t="shared" si="6"/>
        <v>2</v>
      </c>
      <c r="E201" s="25">
        <f t="shared" si="7"/>
        <v>2024</v>
      </c>
      <c r="F201" s="7" t="s">
        <v>70</v>
      </c>
      <c r="G201" s="4" t="s">
        <v>110</v>
      </c>
      <c r="H201" s="4" t="s">
        <v>124</v>
      </c>
      <c r="I201" s="9">
        <v>1990</v>
      </c>
      <c r="J201" s="9" t="s">
        <v>138</v>
      </c>
      <c r="K201" s="8">
        <v>45348</v>
      </c>
      <c r="L201" s="21">
        <v>995</v>
      </c>
      <c r="M201" s="8">
        <v>45377</v>
      </c>
      <c r="N201" s="21">
        <v>995</v>
      </c>
      <c r="O201" s="8"/>
      <c r="P201" s="21"/>
      <c r="Q201" s="8"/>
      <c r="R201" s="28"/>
    </row>
    <row r="202" spans="1:18">
      <c r="A202" s="1" t="s">
        <v>339</v>
      </c>
      <c r="B202" s="6" t="s">
        <v>36</v>
      </c>
      <c r="C202" s="7">
        <v>45343</v>
      </c>
      <c r="D202" s="25">
        <f t="shared" si="6"/>
        <v>2</v>
      </c>
      <c r="E202" s="25">
        <f t="shared" si="7"/>
        <v>2024</v>
      </c>
      <c r="F202" s="7" t="s">
        <v>85</v>
      </c>
      <c r="G202" s="4" t="s">
        <v>111</v>
      </c>
      <c r="H202" s="4" t="s">
        <v>120</v>
      </c>
      <c r="I202" s="9">
        <v>8804</v>
      </c>
      <c r="J202" s="9" t="s">
        <v>138</v>
      </c>
      <c r="K202" s="8">
        <v>45344</v>
      </c>
      <c r="L202" s="21">
        <v>4402</v>
      </c>
      <c r="M202" s="8">
        <v>45373</v>
      </c>
      <c r="N202" s="21">
        <v>4402</v>
      </c>
      <c r="O202" s="8"/>
      <c r="P202" s="21"/>
      <c r="Q202" s="8"/>
      <c r="R202" s="28"/>
    </row>
    <row r="203" spans="1:18">
      <c r="A203" s="1" t="s">
        <v>340</v>
      </c>
      <c r="B203" s="6" t="s">
        <v>28</v>
      </c>
      <c r="C203" s="7">
        <v>45197</v>
      </c>
      <c r="D203" s="25">
        <f t="shared" si="6"/>
        <v>9</v>
      </c>
      <c r="E203" s="25">
        <f t="shared" si="7"/>
        <v>2023</v>
      </c>
      <c r="F203" s="7" t="s">
        <v>77</v>
      </c>
      <c r="G203" s="4" t="s">
        <v>110</v>
      </c>
      <c r="H203" s="4" t="s">
        <v>114</v>
      </c>
      <c r="I203" s="9">
        <v>3706</v>
      </c>
      <c r="J203" s="9" t="s">
        <v>137</v>
      </c>
      <c r="K203" s="8">
        <v>45198</v>
      </c>
      <c r="L203" s="21">
        <v>1235.3333333333333</v>
      </c>
      <c r="M203" s="8">
        <v>45227</v>
      </c>
      <c r="N203" s="21">
        <v>1235.3333333333333</v>
      </c>
      <c r="O203" s="8">
        <v>45242</v>
      </c>
      <c r="P203" s="21">
        <v>1235.3333333333333</v>
      </c>
      <c r="Q203" s="8"/>
      <c r="R203" s="28"/>
    </row>
    <row r="204" spans="1:18">
      <c r="A204" s="1" t="s">
        <v>341</v>
      </c>
      <c r="B204" s="6" t="s">
        <v>22</v>
      </c>
      <c r="C204" s="7">
        <v>45293</v>
      </c>
      <c r="D204" s="25">
        <f t="shared" si="6"/>
        <v>1</v>
      </c>
      <c r="E204" s="25">
        <f t="shared" si="7"/>
        <v>2024</v>
      </c>
      <c r="F204" s="7" t="s">
        <v>71</v>
      </c>
      <c r="G204" s="4" t="s">
        <v>111</v>
      </c>
      <c r="H204" s="4" t="s">
        <v>119</v>
      </c>
      <c r="I204" s="9">
        <v>1276</v>
      </c>
      <c r="J204" s="9" t="s">
        <v>136</v>
      </c>
      <c r="K204" s="8">
        <v>45294</v>
      </c>
      <c r="L204" s="21">
        <v>319</v>
      </c>
      <c r="M204" s="8">
        <v>45323</v>
      </c>
      <c r="N204" s="21">
        <v>319</v>
      </c>
      <c r="O204" s="8">
        <v>45338</v>
      </c>
      <c r="P204" s="21">
        <v>319</v>
      </c>
      <c r="Q204" s="8">
        <v>45353</v>
      </c>
      <c r="R204" s="28">
        <v>319</v>
      </c>
    </row>
    <row r="205" spans="1:18">
      <c r="A205" s="1" t="s">
        <v>342</v>
      </c>
      <c r="B205" s="6" t="s">
        <v>56</v>
      </c>
      <c r="C205" s="7">
        <v>45407</v>
      </c>
      <c r="D205" s="25">
        <f t="shared" si="6"/>
        <v>4</v>
      </c>
      <c r="E205" s="25">
        <f t="shared" si="7"/>
        <v>2024</v>
      </c>
      <c r="F205" s="7" t="s">
        <v>105</v>
      </c>
      <c r="G205" s="4" t="s">
        <v>110</v>
      </c>
      <c r="H205" s="4" t="s">
        <v>113</v>
      </c>
      <c r="I205" s="9">
        <v>1849</v>
      </c>
      <c r="J205" s="9" t="s">
        <v>138</v>
      </c>
      <c r="K205" s="8">
        <v>45408</v>
      </c>
      <c r="L205" s="21">
        <v>924.5</v>
      </c>
      <c r="M205" s="8">
        <v>45437</v>
      </c>
      <c r="N205" s="21">
        <v>924.5</v>
      </c>
      <c r="O205" s="8"/>
      <c r="P205" s="21"/>
      <c r="Q205" s="8"/>
      <c r="R205" s="28"/>
    </row>
    <row r="206" spans="1:18">
      <c r="A206" s="1" t="s">
        <v>343</v>
      </c>
      <c r="B206" s="6" t="s">
        <v>35</v>
      </c>
      <c r="C206" s="7">
        <v>45474</v>
      </c>
      <c r="D206" s="25">
        <f t="shared" si="6"/>
        <v>7</v>
      </c>
      <c r="E206" s="25">
        <f t="shared" si="7"/>
        <v>2024</v>
      </c>
      <c r="F206" s="7" t="s">
        <v>84</v>
      </c>
      <c r="G206" s="4" t="s">
        <v>112</v>
      </c>
      <c r="H206" s="4" t="s">
        <v>122</v>
      </c>
      <c r="I206" s="9">
        <v>7586</v>
      </c>
      <c r="J206" s="9" t="s">
        <v>126</v>
      </c>
      <c r="K206" s="8">
        <v>45475</v>
      </c>
      <c r="L206" s="21">
        <v>7586</v>
      </c>
      <c r="M206" s="8"/>
      <c r="N206" s="21"/>
      <c r="O206" s="8"/>
      <c r="P206" s="21"/>
      <c r="Q206" s="8"/>
      <c r="R206" s="28"/>
    </row>
    <row r="207" spans="1:18">
      <c r="A207" s="1" t="s">
        <v>344</v>
      </c>
      <c r="B207" s="6" t="s">
        <v>46</v>
      </c>
      <c r="C207" s="7">
        <v>45088</v>
      </c>
      <c r="D207" s="25">
        <f t="shared" si="6"/>
        <v>6</v>
      </c>
      <c r="E207" s="25">
        <f t="shared" si="7"/>
        <v>2023</v>
      </c>
      <c r="F207" s="7" t="s">
        <v>95</v>
      </c>
      <c r="G207" s="4" t="s">
        <v>112</v>
      </c>
      <c r="H207" s="4" t="s">
        <v>122</v>
      </c>
      <c r="I207" s="9">
        <v>9322</v>
      </c>
      <c r="J207" s="9" t="s">
        <v>126</v>
      </c>
      <c r="K207" s="8">
        <v>45089</v>
      </c>
      <c r="L207" s="21">
        <v>9322</v>
      </c>
      <c r="M207" s="8"/>
      <c r="N207" s="21"/>
      <c r="O207" s="8"/>
      <c r="P207" s="21"/>
      <c r="Q207" s="8"/>
      <c r="R207" s="28"/>
    </row>
    <row r="208" spans="1:18">
      <c r="A208" s="1" t="s">
        <v>345</v>
      </c>
      <c r="B208" s="6" t="s">
        <v>44</v>
      </c>
      <c r="C208" s="7">
        <v>45283</v>
      </c>
      <c r="D208" s="25">
        <f t="shared" si="6"/>
        <v>12</v>
      </c>
      <c r="E208" s="25">
        <f t="shared" si="7"/>
        <v>2023</v>
      </c>
      <c r="F208" s="7" t="s">
        <v>93</v>
      </c>
      <c r="G208" s="4" t="s">
        <v>111</v>
      </c>
      <c r="H208" s="4" t="s">
        <v>119</v>
      </c>
      <c r="I208" s="9">
        <v>2547</v>
      </c>
      <c r="J208" s="9" t="s">
        <v>137</v>
      </c>
      <c r="K208" s="8">
        <v>45284</v>
      </c>
      <c r="L208" s="21">
        <v>849</v>
      </c>
      <c r="M208" s="8">
        <v>45313</v>
      </c>
      <c r="N208" s="21">
        <v>849</v>
      </c>
      <c r="O208" s="8">
        <v>45328</v>
      </c>
      <c r="P208" s="21">
        <v>849</v>
      </c>
      <c r="Q208" s="8"/>
      <c r="R208" s="28"/>
    </row>
    <row r="209" spans="1:18">
      <c r="A209" s="1" t="s">
        <v>346</v>
      </c>
      <c r="B209" s="6" t="s">
        <v>40</v>
      </c>
      <c r="C209" s="7">
        <v>45436</v>
      </c>
      <c r="D209" s="25">
        <f t="shared" si="6"/>
        <v>5</v>
      </c>
      <c r="E209" s="25">
        <f t="shared" si="7"/>
        <v>2024</v>
      </c>
      <c r="F209" s="7" t="s">
        <v>89</v>
      </c>
      <c r="G209" s="4" t="s">
        <v>111</v>
      </c>
      <c r="H209" s="4" t="s">
        <v>121</v>
      </c>
      <c r="I209" s="9">
        <v>2105</v>
      </c>
      <c r="J209" s="9" t="s">
        <v>126</v>
      </c>
      <c r="K209" s="8">
        <v>45437</v>
      </c>
      <c r="L209" s="21">
        <v>2105</v>
      </c>
      <c r="M209" s="8"/>
      <c r="N209" s="21"/>
      <c r="O209" s="8"/>
      <c r="P209" s="21"/>
      <c r="Q209" s="8"/>
      <c r="R209" s="28"/>
    </row>
    <row r="210" spans="1:18">
      <c r="A210" s="1" t="s">
        <v>347</v>
      </c>
      <c r="B210" s="6" t="s">
        <v>18</v>
      </c>
      <c r="C210" s="7">
        <v>45160</v>
      </c>
      <c r="D210" s="25">
        <f t="shared" si="6"/>
        <v>8</v>
      </c>
      <c r="E210" s="25">
        <f t="shared" si="7"/>
        <v>2023</v>
      </c>
      <c r="F210" s="7" t="s">
        <v>67</v>
      </c>
      <c r="G210" s="4" t="s">
        <v>111</v>
      </c>
      <c r="H210" s="4" t="s">
        <v>121</v>
      </c>
      <c r="I210" s="9">
        <v>9813</v>
      </c>
      <c r="J210" s="9" t="s">
        <v>138</v>
      </c>
      <c r="K210" s="8">
        <v>45161</v>
      </c>
      <c r="L210" s="21">
        <v>4906.5</v>
      </c>
      <c r="M210" s="8">
        <v>45190</v>
      </c>
      <c r="N210" s="21">
        <v>4906.5</v>
      </c>
      <c r="O210" s="8"/>
      <c r="P210" s="21"/>
      <c r="Q210" s="8"/>
      <c r="R210" s="28"/>
    </row>
    <row r="211" spans="1:18">
      <c r="A211" s="1" t="s">
        <v>348</v>
      </c>
      <c r="B211" s="6" t="s">
        <v>50</v>
      </c>
      <c r="C211" s="7">
        <v>45391</v>
      </c>
      <c r="D211" s="25">
        <f t="shared" si="6"/>
        <v>4</v>
      </c>
      <c r="E211" s="25">
        <f t="shared" si="7"/>
        <v>2024</v>
      </c>
      <c r="F211" s="7" t="s">
        <v>99</v>
      </c>
      <c r="G211" s="4" t="s">
        <v>110</v>
      </c>
      <c r="H211" s="4" t="s">
        <v>114</v>
      </c>
      <c r="I211" s="9">
        <v>9521</v>
      </c>
      <c r="J211" s="9" t="s">
        <v>126</v>
      </c>
      <c r="K211" s="8">
        <v>45392</v>
      </c>
      <c r="L211" s="21">
        <v>9521</v>
      </c>
      <c r="M211" s="8"/>
      <c r="N211" s="21"/>
      <c r="O211" s="8"/>
      <c r="P211" s="21"/>
      <c r="Q211" s="8"/>
      <c r="R211" s="28"/>
    </row>
    <row r="212" spans="1:18">
      <c r="A212" s="1" t="s">
        <v>349</v>
      </c>
      <c r="B212" s="6" t="s">
        <v>36</v>
      </c>
      <c r="C212" s="7">
        <v>45371</v>
      </c>
      <c r="D212" s="25">
        <f t="shared" si="6"/>
        <v>3</v>
      </c>
      <c r="E212" s="25">
        <f t="shared" si="7"/>
        <v>2024</v>
      </c>
      <c r="F212" s="7" t="s">
        <v>85</v>
      </c>
      <c r="G212" s="4" t="s">
        <v>111</v>
      </c>
      <c r="H212" s="4" t="s">
        <v>120</v>
      </c>
      <c r="I212" s="9">
        <v>5979</v>
      </c>
      <c r="J212" s="9" t="s">
        <v>126</v>
      </c>
      <c r="K212" s="8">
        <v>45372</v>
      </c>
      <c r="L212" s="21">
        <v>5979</v>
      </c>
      <c r="M212" s="8"/>
      <c r="N212" s="21"/>
      <c r="O212" s="8"/>
      <c r="P212" s="21"/>
      <c r="Q212" s="8"/>
      <c r="R212" s="28"/>
    </row>
    <row r="213" spans="1:18">
      <c r="A213" s="1" t="s">
        <v>350</v>
      </c>
      <c r="B213" s="6" t="s">
        <v>40</v>
      </c>
      <c r="C213" s="7">
        <v>45404</v>
      </c>
      <c r="D213" s="25">
        <f t="shared" si="6"/>
        <v>4</v>
      </c>
      <c r="E213" s="25">
        <f t="shared" si="7"/>
        <v>2024</v>
      </c>
      <c r="F213" s="7" t="s">
        <v>89</v>
      </c>
      <c r="G213" s="4" t="s">
        <v>111</v>
      </c>
      <c r="H213" s="4" t="s">
        <v>121</v>
      </c>
      <c r="I213" s="9">
        <v>4704</v>
      </c>
      <c r="J213" s="9" t="s">
        <v>137</v>
      </c>
      <c r="K213" s="8">
        <v>45405</v>
      </c>
      <c r="L213" s="21">
        <v>1568</v>
      </c>
      <c r="M213" s="8">
        <v>45434</v>
      </c>
      <c r="N213" s="21">
        <v>1568</v>
      </c>
      <c r="O213" s="8">
        <v>45449</v>
      </c>
      <c r="P213" s="21">
        <v>1568</v>
      </c>
      <c r="Q213" s="8"/>
      <c r="R213" s="28"/>
    </row>
    <row r="214" spans="1:18">
      <c r="A214" s="1" t="s">
        <v>351</v>
      </c>
      <c r="B214" s="6" t="s">
        <v>28</v>
      </c>
      <c r="C214" s="7">
        <v>45141</v>
      </c>
      <c r="D214" s="25">
        <f t="shared" si="6"/>
        <v>8</v>
      </c>
      <c r="E214" s="25">
        <f t="shared" si="7"/>
        <v>2023</v>
      </c>
      <c r="F214" s="7" t="s">
        <v>77</v>
      </c>
      <c r="G214" s="4" t="s">
        <v>110</v>
      </c>
      <c r="H214" s="4" t="s">
        <v>114</v>
      </c>
      <c r="I214" s="9">
        <v>2123</v>
      </c>
      <c r="J214" s="9" t="s">
        <v>137</v>
      </c>
      <c r="K214" s="8">
        <v>45142</v>
      </c>
      <c r="L214" s="21">
        <v>707.66666666666663</v>
      </c>
      <c r="M214" s="8">
        <v>45171</v>
      </c>
      <c r="N214" s="21">
        <v>707.66666666666663</v>
      </c>
      <c r="O214" s="8">
        <v>45186</v>
      </c>
      <c r="P214" s="21">
        <v>707.66666666666663</v>
      </c>
      <c r="Q214" s="8"/>
      <c r="R214" s="28"/>
    </row>
    <row r="215" spans="1:18">
      <c r="A215" s="1" t="s">
        <v>352</v>
      </c>
      <c r="B215" s="6" t="s">
        <v>32</v>
      </c>
      <c r="C215" s="7">
        <v>45444</v>
      </c>
      <c r="D215" s="25">
        <f t="shared" si="6"/>
        <v>6</v>
      </c>
      <c r="E215" s="25">
        <f t="shared" si="7"/>
        <v>2024</v>
      </c>
      <c r="F215" s="7" t="s">
        <v>81</v>
      </c>
      <c r="G215" s="4" t="s">
        <v>110</v>
      </c>
      <c r="H215" s="4" t="s">
        <v>124</v>
      </c>
      <c r="I215" s="9">
        <v>3341</v>
      </c>
      <c r="J215" s="9" t="s">
        <v>126</v>
      </c>
      <c r="K215" s="8">
        <v>45445</v>
      </c>
      <c r="L215" s="21">
        <v>3341</v>
      </c>
      <c r="M215" s="8"/>
      <c r="N215" s="21"/>
      <c r="O215" s="8"/>
      <c r="P215" s="21"/>
      <c r="Q215" s="8"/>
      <c r="R215" s="28"/>
    </row>
    <row r="216" spans="1:18">
      <c r="A216" s="1" t="s">
        <v>353</v>
      </c>
      <c r="B216" s="6" t="s">
        <v>15</v>
      </c>
      <c r="C216" s="7">
        <v>45269</v>
      </c>
      <c r="D216" s="25">
        <f t="shared" si="6"/>
        <v>12</v>
      </c>
      <c r="E216" s="25">
        <f t="shared" si="7"/>
        <v>2023</v>
      </c>
      <c r="F216" s="7" t="s">
        <v>64</v>
      </c>
      <c r="G216" s="4" t="s">
        <v>112</v>
      </c>
      <c r="H216" s="4" t="s">
        <v>123</v>
      </c>
      <c r="I216" s="9">
        <v>5561</v>
      </c>
      <c r="J216" s="9" t="s">
        <v>126</v>
      </c>
      <c r="K216" s="8">
        <v>45270</v>
      </c>
      <c r="L216" s="21">
        <v>5561</v>
      </c>
      <c r="M216" s="8"/>
      <c r="N216" s="21"/>
      <c r="O216" s="8"/>
      <c r="P216" s="21"/>
      <c r="Q216" s="8"/>
      <c r="R216" s="28"/>
    </row>
    <row r="217" spans="1:18">
      <c r="A217" s="1" t="s">
        <v>354</v>
      </c>
      <c r="B217" s="6" t="s">
        <v>27</v>
      </c>
      <c r="C217" s="7">
        <v>45256</v>
      </c>
      <c r="D217" s="25">
        <f t="shared" si="6"/>
        <v>11</v>
      </c>
      <c r="E217" s="25">
        <f t="shared" si="7"/>
        <v>2023</v>
      </c>
      <c r="F217" s="7" t="s">
        <v>76</v>
      </c>
      <c r="G217" s="4" t="s">
        <v>110</v>
      </c>
      <c r="H217" s="4" t="s">
        <v>125</v>
      </c>
      <c r="I217" s="9">
        <v>9010</v>
      </c>
      <c r="J217" s="9" t="s">
        <v>137</v>
      </c>
      <c r="K217" s="8">
        <v>45257</v>
      </c>
      <c r="L217" s="21">
        <v>3003.3333333333335</v>
      </c>
      <c r="M217" s="8">
        <v>45286</v>
      </c>
      <c r="N217" s="21">
        <v>3003.3333333333335</v>
      </c>
      <c r="O217" s="8">
        <v>45301</v>
      </c>
      <c r="P217" s="21">
        <v>3003.3333333333335</v>
      </c>
      <c r="Q217" s="8"/>
      <c r="R217" s="28"/>
    </row>
    <row r="218" spans="1:18">
      <c r="A218" s="1" t="s">
        <v>355</v>
      </c>
      <c r="B218" s="6" t="s">
        <v>30</v>
      </c>
      <c r="C218" s="7">
        <v>45361</v>
      </c>
      <c r="D218" s="25">
        <f t="shared" si="6"/>
        <v>3</v>
      </c>
      <c r="E218" s="25">
        <f t="shared" si="7"/>
        <v>2024</v>
      </c>
      <c r="F218" s="7" t="s">
        <v>79</v>
      </c>
      <c r="G218" s="4" t="s">
        <v>111</v>
      </c>
      <c r="H218" s="4" t="s">
        <v>118</v>
      </c>
      <c r="I218" s="9">
        <v>9426</v>
      </c>
      <c r="J218" s="9" t="s">
        <v>138</v>
      </c>
      <c r="K218" s="8">
        <v>45362</v>
      </c>
      <c r="L218" s="21">
        <v>4713</v>
      </c>
      <c r="M218" s="8">
        <v>45391</v>
      </c>
      <c r="N218" s="21">
        <v>4713</v>
      </c>
      <c r="O218" s="8"/>
      <c r="P218" s="21"/>
      <c r="Q218" s="8"/>
      <c r="R218" s="28"/>
    </row>
    <row r="219" spans="1:18">
      <c r="A219" s="1" t="s">
        <v>356</v>
      </c>
      <c r="B219" s="6" t="s">
        <v>49</v>
      </c>
      <c r="C219" s="7">
        <v>45268</v>
      </c>
      <c r="D219" s="25">
        <f t="shared" si="6"/>
        <v>12</v>
      </c>
      <c r="E219" s="25">
        <f t="shared" si="7"/>
        <v>2023</v>
      </c>
      <c r="F219" s="7" t="s">
        <v>98</v>
      </c>
      <c r="G219" s="4" t="s">
        <v>110</v>
      </c>
      <c r="H219" s="4" t="s">
        <v>125</v>
      </c>
      <c r="I219" s="9">
        <v>2215</v>
      </c>
      <c r="J219" s="9" t="s">
        <v>137</v>
      </c>
      <c r="K219" s="8">
        <v>45269</v>
      </c>
      <c r="L219" s="21">
        <v>738.33333333333337</v>
      </c>
      <c r="M219" s="8">
        <v>45298</v>
      </c>
      <c r="N219" s="21">
        <v>738.33333333333337</v>
      </c>
      <c r="O219" s="8">
        <v>45313</v>
      </c>
      <c r="P219" s="21">
        <v>738.33333333333337</v>
      </c>
      <c r="Q219" s="8"/>
      <c r="R219" s="28"/>
    </row>
    <row r="220" spans="1:18">
      <c r="A220" s="1" t="s">
        <v>357</v>
      </c>
      <c r="B220" s="6" t="s">
        <v>39</v>
      </c>
      <c r="C220" s="7">
        <v>45334</v>
      </c>
      <c r="D220" s="25">
        <f t="shared" si="6"/>
        <v>2</v>
      </c>
      <c r="E220" s="25">
        <f t="shared" si="7"/>
        <v>2024</v>
      </c>
      <c r="F220" s="7" t="s">
        <v>88</v>
      </c>
      <c r="G220" s="4" t="s">
        <v>110</v>
      </c>
      <c r="H220" s="4" t="s">
        <v>114</v>
      </c>
      <c r="I220" s="9">
        <v>3173</v>
      </c>
      <c r="J220" s="9" t="s">
        <v>138</v>
      </c>
      <c r="K220" s="8">
        <v>45335</v>
      </c>
      <c r="L220" s="21">
        <v>1586.5</v>
      </c>
      <c r="M220" s="8">
        <v>45364</v>
      </c>
      <c r="N220" s="21">
        <v>1586.5</v>
      </c>
      <c r="O220" s="8"/>
      <c r="P220" s="21"/>
      <c r="Q220" s="8"/>
      <c r="R220" s="28"/>
    </row>
    <row r="221" spans="1:18">
      <c r="A221" s="1" t="s">
        <v>358</v>
      </c>
      <c r="B221" s="6" t="s">
        <v>45</v>
      </c>
      <c r="C221" s="7">
        <v>45498</v>
      </c>
      <c r="D221" s="25">
        <f t="shared" si="6"/>
        <v>7</v>
      </c>
      <c r="E221" s="25">
        <f t="shared" si="7"/>
        <v>2024</v>
      </c>
      <c r="F221" s="7" t="s">
        <v>94</v>
      </c>
      <c r="G221" s="4" t="s">
        <v>110</v>
      </c>
      <c r="H221" s="4" t="s">
        <v>113</v>
      </c>
      <c r="I221" s="9">
        <v>6591</v>
      </c>
      <c r="J221" s="9" t="s">
        <v>126</v>
      </c>
      <c r="K221" s="8">
        <v>45499</v>
      </c>
      <c r="L221" s="21">
        <v>6591</v>
      </c>
      <c r="M221" s="8"/>
      <c r="N221" s="21"/>
      <c r="O221" s="8"/>
      <c r="P221" s="21"/>
      <c r="Q221" s="8"/>
      <c r="R221" s="28"/>
    </row>
    <row r="222" spans="1:18">
      <c r="A222" s="1" t="s">
        <v>359</v>
      </c>
      <c r="B222" s="6" t="s">
        <v>15</v>
      </c>
      <c r="C222" s="7">
        <v>45517</v>
      </c>
      <c r="D222" s="25">
        <f t="shared" si="6"/>
        <v>8</v>
      </c>
      <c r="E222" s="25">
        <f t="shared" si="7"/>
        <v>2024</v>
      </c>
      <c r="F222" s="7" t="s">
        <v>64</v>
      </c>
      <c r="G222" s="4" t="s">
        <v>112</v>
      </c>
      <c r="H222" s="4" t="s">
        <v>123</v>
      </c>
      <c r="I222" s="9">
        <v>9169</v>
      </c>
      <c r="J222" s="9" t="s">
        <v>126</v>
      </c>
      <c r="K222" s="8">
        <v>45518</v>
      </c>
      <c r="L222" s="21">
        <v>9169</v>
      </c>
      <c r="M222" s="8"/>
      <c r="N222" s="21"/>
      <c r="O222" s="8"/>
      <c r="P222" s="21"/>
      <c r="Q222" s="8"/>
      <c r="R222" s="28"/>
    </row>
    <row r="223" spans="1:18">
      <c r="A223" s="1" t="s">
        <v>360</v>
      </c>
      <c r="B223" s="6" t="s">
        <v>18</v>
      </c>
      <c r="C223" s="7">
        <v>45380</v>
      </c>
      <c r="D223" s="25">
        <f t="shared" si="6"/>
        <v>3</v>
      </c>
      <c r="E223" s="25">
        <f t="shared" si="7"/>
        <v>2024</v>
      </c>
      <c r="F223" s="7" t="s">
        <v>67</v>
      </c>
      <c r="G223" s="4" t="s">
        <v>111</v>
      </c>
      <c r="H223" s="4" t="s">
        <v>121</v>
      </c>
      <c r="I223" s="9">
        <v>6193</v>
      </c>
      <c r="J223" s="9" t="s">
        <v>138</v>
      </c>
      <c r="K223" s="8">
        <v>45381</v>
      </c>
      <c r="L223" s="21">
        <v>3096.5</v>
      </c>
      <c r="M223" s="8">
        <v>45410</v>
      </c>
      <c r="N223" s="21">
        <v>3096.5</v>
      </c>
      <c r="O223" s="8"/>
      <c r="P223" s="21"/>
      <c r="Q223" s="8"/>
      <c r="R223" s="28"/>
    </row>
    <row r="224" spans="1:18">
      <c r="A224" s="1" t="s">
        <v>361</v>
      </c>
      <c r="B224" s="6" t="s">
        <v>59</v>
      </c>
      <c r="C224" s="7">
        <v>45352</v>
      </c>
      <c r="D224" s="25">
        <f t="shared" si="6"/>
        <v>3</v>
      </c>
      <c r="E224" s="25">
        <f t="shared" si="7"/>
        <v>2024</v>
      </c>
      <c r="F224" s="7" t="s">
        <v>108</v>
      </c>
      <c r="G224" s="4" t="s">
        <v>111</v>
      </c>
      <c r="H224" s="4" t="s">
        <v>121</v>
      </c>
      <c r="I224" s="9">
        <v>7567</v>
      </c>
      <c r="J224" s="9" t="s">
        <v>137</v>
      </c>
      <c r="K224" s="8">
        <v>45353</v>
      </c>
      <c r="L224" s="21">
        <v>2522.3333333333335</v>
      </c>
      <c r="M224" s="8">
        <v>45382</v>
      </c>
      <c r="N224" s="21">
        <v>2522.3333333333335</v>
      </c>
      <c r="O224" s="8">
        <v>45397</v>
      </c>
      <c r="P224" s="21">
        <v>2522.3333333333335</v>
      </c>
      <c r="Q224" s="8"/>
      <c r="R224" s="28"/>
    </row>
    <row r="225" spans="1:18">
      <c r="A225" s="1" t="s">
        <v>362</v>
      </c>
      <c r="B225" s="6" t="s">
        <v>38</v>
      </c>
      <c r="C225" s="7">
        <v>45430</v>
      </c>
      <c r="D225" s="25">
        <f t="shared" si="6"/>
        <v>5</v>
      </c>
      <c r="E225" s="25">
        <f t="shared" si="7"/>
        <v>2024</v>
      </c>
      <c r="F225" s="7" t="s">
        <v>87</v>
      </c>
      <c r="G225" s="4" t="s">
        <v>110</v>
      </c>
      <c r="H225" s="4" t="s">
        <v>125</v>
      </c>
      <c r="I225" s="9">
        <v>874</v>
      </c>
      <c r="J225" s="9" t="s">
        <v>137</v>
      </c>
      <c r="K225" s="8">
        <v>45431</v>
      </c>
      <c r="L225" s="21">
        <v>291.33333333333331</v>
      </c>
      <c r="M225" s="8">
        <v>45460</v>
      </c>
      <c r="N225" s="21">
        <v>291.33333333333331</v>
      </c>
      <c r="O225" s="8">
        <v>45475</v>
      </c>
      <c r="P225" s="21">
        <v>291.33333333333331</v>
      </c>
      <c r="Q225" s="8"/>
      <c r="R225" s="28"/>
    </row>
    <row r="226" spans="1:18">
      <c r="A226" s="1" t="s">
        <v>363</v>
      </c>
      <c r="B226" s="6" t="s">
        <v>45</v>
      </c>
      <c r="C226" s="7">
        <v>45441</v>
      </c>
      <c r="D226" s="25">
        <f t="shared" si="6"/>
        <v>5</v>
      </c>
      <c r="E226" s="25">
        <f t="shared" si="7"/>
        <v>2024</v>
      </c>
      <c r="F226" s="7" t="s">
        <v>94</v>
      </c>
      <c r="G226" s="4" t="s">
        <v>110</v>
      </c>
      <c r="H226" s="4" t="s">
        <v>113</v>
      </c>
      <c r="I226" s="9">
        <v>8293</v>
      </c>
      <c r="J226" s="9" t="s">
        <v>138</v>
      </c>
      <c r="K226" s="8">
        <v>45442</v>
      </c>
      <c r="L226" s="21">
        <v>4146.5</v>
      </c>
      <c r="M226" s="8">
        <v>45471</v>
      </c>
      <c r="N226" s="21">
        <v>4146.5</v>
      </c>
      <c r="O226" s="8"/>
      <c r="P226" s="21"/>
      <c r="Q226" s="8"/>
      <c r="R226" s="28"/>
    </row>
    <row r="227" spans="1:18">
      <c r="A227" s="1" t="s">
        <v>364</v>
      </c>
      <c r="B227" s="6" t="s">
        <v>28</v>
      </c>
      <c r="C227" s="7">
        <v>45459</v>
      </c>
      <c r="D227" s="25">
        <f t="shared" si="6"/>
        <v>6</v>
      </c>
      <c r="E227" s="25">
        <f t="shared" si="7"/>
        <v>2024</v>
      </c>
      <c r="F227" s="7" t="s">
        <v>77</v>
      </c>
      <c r="G227" s="4" t="s">
        <v>110</v>
      </c>
      <c r="H227" s="4" t="s">
        <v>114</v>
      </c>
      <c r="I227" s="9">
        <v>6745</v>
      </c>
      <c r="J227" s="9" t="s">
        <v>137</v>
      </c>
      <c r="K227" s="8">
        <v>45460</v>
      </c>
      <c r="L227" s="21">
        <v>2248.3333333333335</v>
      </c>
      <c r="M227" s="8">
        <v>45489</v>
      </c>
      <c r="N227" s="21">
        <v>2248.3333333333335</v>
      </c>
      <c r="O227" s="8">
        <v>45504</v>
      </c>
      <c r="P227" s="21">
        <v>2248.3333333333335</v>
      </c>
      <c r="Q227" s="8"/>
      <c r="R227" s="28"/>
    </row>
    <row r="228" spans="1:18">
      <c r="A228" s="1" t="s">
        <v>365</v>
      </c>
      <c r="B228" s="6" t="s">
        <v>16</v>
      </c>
      <c r="C228" s="7">
        <v>45439</v>
      </c>
      <c r="D228" s="25">
        <f t="shared" si="6"/>
        <v>5</v>
      </c>
      <c r="E228" s="25">
        <f t="shared" si="7"/>
        <v>2024</v>
      </c>
      <c r="F228" s="7" t="s">
        <v>65</v>
      </c>
      <c r="G228" s="4" t="s">
        <v>110</v>
      </c>
      <c r="H228" s="4" t="s">
        <v>125</v>
      </c>
      <c r="I228" s="9">
        <v>3455</v>
      </c>
      <c r="J228" s="9" t="s">
        <v>136</v>
      </c>
      <c r="K228" s="8">
        <v>45440</v>
      </c>
      <c r="L228" s="21">
        <v>863.75</v>
      </c>
      <c r="M228" s="8">
        <v>45469</v>
      </c>
      <c r="N228" s="21">
        <v>863.75</v>
      </c>
      <c r="O228" s="8">
        <v>45484</v>
      </c>
      <c r="P228" s="21">
        <v>863.75</v>
      </c>
      <c r="Q228" s="8">
        <v>45499</v>
      </c>
      <c r="R228" s="28">
        <v>863.75</v>
      </c>
    </row>
    <row r="229" spans="1:18">
      <c r="A229" s="1" t="s">
        <v>366</v>
      </c>
      <c r="B229" s="6" t="s">
        <v>47</v>
      </c>
      <c r="C229" s="7">
        <v>45211</v>
      </c>
      <c r="D229" s="25">
        <f t="shared" si="6"/>
        <v>10</v>
      </c>
      <c r="E229" s="25">
        <f t="shared" si="7"/>
        <v>2023</v>
      </c>
      <c r="F229" s="7" t="s">
        <v>96</v>
      </c>
      <c r="G229" s="4" t="s">
        <v>111</v>
      </c>
      <c r="H229" s="4" t="s">
        <v>120</v>
      </c>
      <c r="I229" s="9">
        <v>7979</v>
      </c>
      <c r="J229" s="9" t="s">
        <v>137</v>
      </c>
      <c r="K229" s="8">
        <v>45212</v>
      </c>
      <c r="L229" s="21">
        <v>2659.6666666666665</v>
      </c>
      <c r="M229" s="8">
        <v>45241</v>
      </c>
      <c r="N229" s="21">
        <v>2659.6666666666665</v>
      </c>
      <c r="O229" s="8">
        <v>45256</v>
      </c>
      <c r="P229" s="21">
        <v>2659.6666666666665</v>
      </c>
      <c r="Q229" s="8"/>
      <c r="R229" s="28"/>
    </row>
    <row r="230" spans="1:18">
      <c r="A230" s="1" t="s">
        <v>367</v>
      </c>
      <c r="B230" s="6" t="s">
        <v>20</v>
      </c>
      <c r="C230" s="7">
        <v>45106</v>
      </c>
      <c r="D230" s="25">
        <f t="shared" si="6"/>
        <v>6</v>
      </c>
      <c r="E230" s="25">
        <f t="shared" si="7"/>
        <v>2023</v>
      </c>
      <c r="F230" s="7" t="s">
        <v>69</v>
      </c>
      <c r="G230" s="4" t="s">
        <v>111</v>
      </c>
      <c r="H230" s="4" t="s">
        <v>117</v>
      </c>
      <c r="I230" s="9">
        <v>8660</v>
      </c>
      <c r="J230" s="9" t="s">
        <v>126</v>
      </c>
      <c r="K230" s="8">
        <v>45107</v>
      </c>
      <c r="L230" s="21">
        <v>8660</v>
      </c>
      <c r="M230" s="8"/>
      <c r="N230" s="21"/>
      <c r="O230" s="8"/>
      <c r="P230" s="21"/>
      <c r="Q230" s="8"/>
      <c r="R230" s="28"/>
    </row>
    <row r="231" spans="1:18">
      <c r="A231" s="1" t="s">
        <v>368</v>
      </c>
      <c r="B231" s="6" t="s">
        <v>60</v>
      </c>
      <c r="C231" s="7">
        <v>45133</v>
      </c>
      <c r="D231" s="25">
        <f t="shared" si="6"/>
        <v>7</v>
      </c>
      <c r="E231" s="25">
        <f t="shared" si="7"/>
        <v>2023</v>
      </c>
      <c r="F231" s="7" t="s">
        <v>109</v>
      </c>
      <c r="G231" s="4" t="s">
        <v>111</v>
      </c>
      <c r="H231" s="4" t="s">
        <v>118</v>
      </c>
      <c r="I231" s="9">
        <v>7962</v>
      </c>
      <c r="J231" s="9" t="s">
        <v>137</v>
      </c>
      <c r="K231" s="8">
        <v>45134</v>
      </c>
      <c r="L231" s="21">
        <v>2654</v>
      </c>
      <c r="M231" s="8">
        <v>45163</v>
      </c>
      <c r="N231" s="21">
        <v>2654</v>
      </c>
      <c r="O231" s="8">
        <v>45178</v>
      </c>
      <c r="P231" s="21">
        <v>2654</v>
      </c>
      <c r="Q231" s="8"/>
      <c r="R231" s="28"/>
    </row>
    <row r="232" spans="1:18">
      <c r="A232" s="1" t="s">
        <v>369</v>
      </c>
      <c r="B232" s="6" t="s">
        <v>58</v>
      </c>
      <c r="C232" s="7">
        <v>45148</v>
      </c>
      <c r="D232" s="25">
        <f t="shared" si="6"/>
        <v>8</v>
      </c>
      <c r="E232" s="25">
        <f t="shared" si="7"/>
        <v>2023</v>
      </c>
      <c r="F232" s="7" t="s">
        <v>107</v>
      </c>
      <c r="G232" s="4" t="s">
        <v>111</v>
      </c>
      <c r="H232" s="4" t="s">
        <v>120</v>
      </c>
      <c r="I232" s="9">
        <v>9511</v>
      </c>
      <c r="J232" s="9" t="s">
        <v>126</v>
      </c>
      <c r="K232" s="8">
        <v>45149</v>
      </c>
      <c r="L232" s="21">
        <v>9511</v>
      </c>
      <c r="M232" s="8"/>
      <c r="N232" s="21"/>
      <c r="O232" s="8"/>
      <c r="P232" s="21"/>
      <c r="Q232" s="8"/>
      <c r="R232" s="28"/>
    </row>
    <row r="233" spans="1:18">
      <c r="A233" s="1" t="s">
        <v>370</v>
      </c>
      <c r="B233" s="6" t="s">
        <v>46</v>
      </c>
      <c r="C233" s="7">
        <v>45179</v>
      </c>
      <c r="D233" s="25">
        <f t="shared" si="6"/>
        <v>9</v>
      </c>
      <c r="E233" s="25">
        <f t="shared" si="7"/>
        <v>2023</v>
      </c>
      <c r="F233" s="7" t="s">
        <v>95</v>
      </c>
      <c r="G233" s="4" t="s">
        <v>112</v>
      </c>
      <c r="H233" s="4" t="s">
        <v>122</v>
      </c>
      <c r="I233" s="9">
        <v>8511</v>
      </c>
      <c r="J233" s="9" t="s">
        <v>126</v>
      </c>
      <c r="K233" s="8">
        <v>45180</v>
      </c>
      <c r="L233" s="21">
        <v>8511</v>
      </c>
      <c r="M233" s="8"/>
      <c r="N233" s="21"/>
      <c r="O233" s="8"/>
      <c r="P233" s="21"/>
      <c r="Q233" s="8"/>
      <c r="R233" s="28"/>
    </row>
    <row r="234" spans="1:18">
      <c r="A234" s="1" t="s">
        <v>371</v>
      </c>
      <c r="B234" s="6" t="s">
        <v>19</v>
      </c>
      <c r="C234" s="7">
        <v>45436</v>
      </c>
      <c r="D234" s="25">
        <f t="shared" si="6"/>
        <v>5</v>
      </c>
      <c r="E234" s="25">
        <f t="shared" si="7"/>
        <v>2024</v>
      </c>
      <c r="F234" s="7" t="s">
        <v>68</v>
      </c>
      <c r="G234" s="4" t="s">
        <v>111</v>
      </c>
      <c r="H234" s="4" t="s">
        <v>118</v>
      </c>
      <c r="I234" s="9">
        <v>8691</v>
      </c>
      <c r="J234" s="9" t="s">
        <v>136</v>
      </c>
      <c r="K234" s="8">
        <v>45437</v>
      </c>
      <c r="L234" s="21">
        <v>2172.75</v>
      </c>
      <c r="M234" s="8">
        <v>45466</v>
      </c>
      <c r="N234" s="21">
        <v>2172.75</v>
      </c>
      <c r="O234" s="8">
        <v>45481</v>
      </c>
      <c r="P234" s="21">
        <v>2172.75</v>
      </c>
      <c r="Q234" s="8">
        <v>45496</v>
      </c>
      <c r="R234" s="28">
        <v>2172.75</v>
      </c>
    </row>
    <row r="235" spans="1:18">
      <c r="A235" s="1" t="s">
        <v>372</v>
      </c>
      <c r="B235" s="6" t="s">
        <v>31</v>
      </c>
      <c r="C235" s="7">
        <v>45356</v>
      </c>
      <c r="D235" s="25">
        <f t="shared" si="6"/>
        <v>3</v>
      </c>
      <c r="E235" s="25">
        <f t="shared" si="7"/>
        <v>2024</v>
      </c>
      <c r="F235" s="7" t="s">
        <v>80</v>
      </c>
      <c r="G235" s="4" t="s">
        <v>111</v>
      </c>
      <c r="H235" s="4" t="s">
        <v>117</v>
      </c>
      <c r="I235" s="9">
        <v>7016</v>
      </c>
      <c r="J235" s="9" t="s">
        <v>136</v>
      </c>
      <c r="K235" s="8">
        <v>45357</v>
      </c>
      <c r="L235" s="21">
        <v>1754</v>
      </c>
      <c r="M235" s="8">
        <v>45386</v>
      </c>
      <c r="N235" s="21">
        <v>1754</v>
      </c>
      <c r="O235" s="8">
        <v>45401</v>
      </c>
      <c r="P235" s="21">
        <v>1754</v>
      </c>
      <c r="Q235" s="8">
        <v>45416</v>
      </c>
      <c r="R235" s="28">
        <v>1754</v>
      </c>
    </row>
    <row r="236" spans="1:18">
      <c r="A236" s="1" t="s">
        <v>373</v>
      </c>
      <c r="B236" s="6" t="s">
        <v>58</v>
      </c>
      <c r="C236" s="7">
        <v>45115</v>
      </c>
      <c r="D236" s="25">
        <f t="shared" si="6"/>
        <v>7</v>
      </c>
      <c r="E236" s="25">
        <f t="shared" si="7"/>
        <v>2023</v>
      </c>
      <c r="F236" s="7" t="s">
        <v>107</v>
      </c>
      <c r="G236" s="4" t="s">
        <v>111</v>
      </c>
      <c r="H236" s="4" t="s">
        <v>120</v>
      </c>
      <c r="I236" s="9">
        <v>2432</v>
      </c>
      <c r="J236" s="9" t="s">
        <v>126</v>
      </c>
      <c r="K236" s="8">
        <v>45116</v>
      </c>
      <c r="L236" s="21">
        <v>2432</v>
      </c>
      <c r="M236" s="8"/>
      <c r="N236" s="21"/>
      <c r="O236" s="8"/>
      <c r="P236" s="21"/>
      <c r="Q236" s="8"/>
      <c r="R236" s="28"/>
    </row>
    <row r="237" spans="1:18">
      <c r="A237" s="1" t="s">
        <v>374</v>
      </c>
      <c r="B237" s="6" t="s">
        <v>30</v>
      </c>
      <c r="C237" s="7">
        <v>45120</v>
      </c>
      <c r="D237" s="25">
        <f t="shared" si="6"/>
        <v>7</v>
      </c>
      <c r="E237" s="25">
        <f t="shared" si="7"/>
        <v>2023</v>
      </c>
      <c r="F237" s="7" t="s">
        <v>79</v>
      </c>
      <c r="G237" s="4" t="s">
        <v>111</v>
      </c>
      <c r="H237" s="4" t="s">
        <v>118</v>
      </c>
      <c r="I237" s="9">
        <v>7988</v>
      </c>
      <c r="J237" s="9" t="s">
        <v>136</v>
      </c>
      <c r="K237" s="8">
        <v>45121</v>
      </c>
      <c r="L237" s="21">
        <v>1997</v>
      </c>
      <c r="M237" s="8">
        <v>45150</v>
      </c>
      <c r="N237" s="21">
        <v>1997</v>
      </c>
      <c r="O237" s="8">
        <v>45165</v>
      </c>
      <c r="P237" s="21">
        <v>1997</v>
      </c>
      <c r="Q237" s="8">
        <v>45180</v>
      </c>
      <c r="R237" s="28">
        <v>1997</v>
      </c>
    </row>
    <row r="238" spans="1:18">
      <c r="A238" s="1" t="s">
        <v>375</v>
      </c>
      <c r="B238" s="6" t="s">
        <v>28</v>
      </c>
      <c r="C238" s="7">
        <v>45374</v>
      </c>
      <c r="D238" s="25">
        <f t="shared" si="6"/>
        <v>3</v>
      </c>
      <c r="E238" s="25">
        <f t="shared" si="7"/>
        <v>2024</v>
      </c>
      <c r="F238" s="7" t="s">
        <v>77</v>
      </c>
      <c r="G238" s="4" t="s">
        <v>110</v>
      </c>
      <c r="H238" s="4" t="s">
        <v>114</v>
      </c>
      <c r="I238" s="9">
        <v>5810</v>
      </c>
      <c r="J238" s="9" t="s">
        <v>137</v>
      </c>
      <c r="K238" s="8">
        <v>45375</v>
      </c>
      <c r="L238" s="21">
        <v>1936.6666666666667</v>
      </c>
      <c r="M238" s="8">
        <v>45404</v>
      </c>
      <c r="N238" s="21">
        <v>1936.6666666666667</v>
      </c>
      <c r="O238" s="8">
        <v>45419</v>
      </c>
      <c r="P238" s="21">
        <v>1936.6666666666667</v>
      </c>
      <c r="Q238" s="8"/>
      <c r="R238" s="28"/>
    </row>
    <row r="239" spans="1:18">
      <c r="A239" s="1" t="s">
        <v>376</v>
      </c>
      <c r="B239" s="6" t="s">
        <v>58</v>
      </c>
      <c r="C239" s="7">
        <v>45055</v>
      </c>
      <c r="D239" s="25">
        <f t="shared" si="6"/>
        <v>5</v>
      </c>
      <c r="E239" s="25">
        <f t="shared" si="7"/>
        <v>2023</v>
      </c>
      <c r="F239" s="7" t="s">
        <v>107</v>
      </c>
      <c r="G239" s="4" t="s">
        <v>111</v>
      </c>
      <c r="H239" s="4" t="s">
        <v>120</v>
      </c>
      <c r="I239" s="9">
        <v>4750</v>
      </c>
      <c r="J239" s="9" t="s">
        <v>126</v>
      </c>
      <c r="K239" s="8">
        <v>45056</v>
      </c>
      <c r="L239" s="21">
        <v>4750</v>
      </c>
      <c r="M239" s="8"/>
      <c r="N239" s="21"/>
      <c r="O239" s="8"/>
      <c r="P239" s="21"/>
      <c r="Q239" s="8"/>
      <c r="R239" s="28"/>
    </row>
    <row r="240" spans="1:18">
      <c r="A240" s="1" t="s">
        <v>377</v>
      </c>
      <c r="B240" s="6" t="s">
        <v>54</v>
      </c>
      <c r="C240" s="7">
        <v>45167</v>
      </c>
      <c r="D240" s="25">
        <f t="shared" si="6"/>
        <v>8</v>
      </c>
      <c r="E240" s="25">
        <f t="shared" si="7"/>
        <v>2023</v>
      </c>
      <c r="F240" s="7" t="s">
        <v>103</v>
      </c>
      <c r="G240" s="4" t="s">
        <v>110</v>
      </c>
      <c r="H240" s="4" t="s">
        <v>124</v>
      </c>
      <c r="I240" s="9">
        <v>5572</v>
      </c>
      <c r="J240" s="9" t="s">
        <v>138</v>
      </c>
      <c r="K240" s="8">
        <v>45168</v>
      </c>
      <c r="L240" s="21">
        <v>2786</v>
      </c>
      <c r="M240" s="8">
        <v>45197</v>
      </c>
      <c r="N240" s="21">
        <v>2786</v>
      </c>
      <c r="O240" s="8"/>
      <c r="P240" s="21"/>
      <c r="Q240" s="8"/>
      <c r="R240" s="28"/>
    </row>
    <row r="241" spans="1:18">
      <c r="A241" s="1" t="s">
        <v>378</v>
      </c>
      <c r="B241" s="6" t="s">
        <v>19</v>
      </c>
      <c r="C241" s="7">
        <v>45284</v>
      </c>
      <c r="D241" s="25">
        <f t="shared" si="6"/>
        <v>12</v>
      </c>
      <c r="E241" s="25">
        <f t="shared" si="7"/>
        <v>2023</v>
      </c>
      <c r="F241" s="7" t="s">
        <v>68</v>
      </c>
      <c r="G241" s="4" t="s">
        <v>111</v>
      </c>
      <c r="H241" s="4" t="s">
        <v>118</v>
      </c>
      <c r="I241" s="9">
        <v>2758</v>
      </c>
      <c r="J241" s="9" t="s">
        <v>138</v>
      </c>
      <c r="K241" s="8">
        <v>45285</v>
      </c>
      <c r="L241" s="21">
        <v>1379</v>
      </c>
      <c r="M241" s="8">
        <v>45314</v>
      </c>
      <c r="N241" s="21">
        <v>1379</v>
      </c>
      <c r="O241" s="8"/>
      <c r="P241" s="21"/>
      <c r="Q241" s="8"/>
      <c r="R241" s="28"/>
    </row>
    <row r="242" spans="1:18">
      <c r="A242" s="1" t="s">
        <v>379</v>
      </c>
      <c r="B242" s="6" t="s">
        <v>59</v>
      </c>
      <c r="C242" s="7">
        <v>45526</v>
      </c>
      <c r="D242" s="25">
        <f t="shared" si="6"/>
        <v>8</v>
      </c>
      <c r="E242" s="25">
        <f t="shared" si="7"/>
        <v>2024</v>
      </c>
      <c r="F242" s="7" t="s">
        <v>108</v>
      </c>
      <c r="G242" s="4" t="s">
        <v>111</v>
      </c>
      <c r="H242" s="4" t="s">
        <v>121</v>
      </c>
      <c r="I242" s="9">
        <v>5783</v>
      </c>
      <c r="J242" s="9" t="s">
        <v>137</v>
      </c>
      <c r="K242" s="8">
        <v>45527</v>
      </c>
      <c r="L242" s="21">
        <v>1927.6666666666667</v>
      </c>
      <c r="M242" s="8">
        <v>45556</v>
      </c>
      <c r="N242" s="21">
        <v>1927.6666666666667</v>
      </c>
      <c r="O242" s="8">
        <v>45571</v>
      </c>
      <c r="P242" s="21">
        <v>1927.6666666666667</v>
      </c>
      <c r="Q242" s="8"/>
      <c r="R242" s="28"/>
    </row>
    <row r="243" spans="1:18">
      <c r="A243" s="1" t="s">
        <v>380</v>
      </c>
      <c r="B243" s="6" t="s">
        <v>59</v>
      </c>
      <c r="C243" s="7">
        <v>45260</v>
      </c>
      <c r="D243" s="25">
        <f t="shared" si="6"/>
        <v>11</v>
      </c>
      <c r="E243" s="25">
        <f t="shared" si="7"/>
        <v>2023</v>
      </c>
      <c r="F243" s="7" t="s">
        <v>108</v>
      </c>
      <c r="G243" s="4" t="s">
        <v>111</v>
      </c>
      <c r="H243" s="4" t="s">
        <v>121</v>
      </c>
      <c r="I243" s="9">
        <v>1013</v>
      </c>
      <c r="J243" s="9" t="s">
        <v>126</v>
      </c>
      <c r="K243" s="8">
        <v>45261</v>
      </c>
      <c r="L243" s="21">
        <v>1013</v>
      </c>
      <c r="M243" s="8"/>
      <c r="N243" s="21"/>
      <c r="O243" s="8"/>
      <c r="P243" s="21"/>
      <c r="Q243" s="8"/>
      <c r="R243" s="28"/>
    </row>
    <row r="244" spans="1:18">
      <c r="A244" s="1" t="s">
        <v>381</v>
      </c>
      <c r="B244" s="6" t="s">
        <v>19</v>
      </c>
      <c r="C244" s="7">
        <v>45181</v>
      </c>
      <c r="D244" s="25">
        <f t="shared" si="6"/>
        <v>9</v>
      </c>
      <c r="E244" s="25">
        <f t="shared" si="7"/>
        <v>2023</v>
      </c>
      <c r="F244" s="7" t="s">
        <v>68</v>
      </c>
      <c r="G244" s="4" t="s">
        <v>111</v>
      </c>
      <c r="H244" s="4" t="s">
        <v>118</v>
      </c>
      <c r="I244" s="9">
        <v>1296</v>
      </c>
      <c r="J244" s="9" t="s">
        <v>137</v>
      </c>
      <c r="K244" s="8">
        <v>45182</v>
      </c>
      <c r="L244" s="21">
        <v>432</v>
      </c>
      <c r="M244" s="8">
        <v>45211</v>
      </c>
      <c r="N244" s="21">
        <v>432</v>
      </c>
      <c r="O244" s="8">
        <v>45226</v>
      </c>
      <c r="P244" s="21">
        <v>432</v>
      </c>
      <c r="Q244" s="8"/>
      <c r="R244" s="28"/>
    </row>
    <row r="245" spans="1:18">
      <c r="A245" s="1" t="s">
        <v>382</v>
      </c>
      <c r="B245" s="6" t="s">
        <v>59</v>
      </c>
      <c r="C245" s="7">
        <v>45133</v>
      </c>
      <c r="D245" s="25">
        <f t="shared" si="6"/>
        <v>7</v>
      </c>
      <c r="E245" s="25">
        <f t="shared" si="7"/>
        <v>2023</v>
      </c>
      <c r="F245" s="7" t="s">
        <v>108</v>
      </c>
      <c r="G245" s="4" t="s">
        <v>111</v>
      </c>
      <c r="H245" s="4" t="s">
        <v>121</v>
      </c>
      <c r="I245" s="9">
        <v>3437</v>
      </c>
      <c r="J245" s="9" t="s">
        <v>136</v>
      </c>
      <c r="K245" s="8">
        <v>45134</v>
      </c>
      <c r="L245" s="21">
        <v>859.25</v>
      </c>
      <c r="M245" s="8">
        <v>45163</v>
      </c>
      <c r="N245" s="21">
        <v>859.25</v>
      </c>
      <c r="O245" s="8">
        <v>45178</v>
      </c>
      <c r="P245" s="21">
        <v>859.25</v>
      </c>
      <c r="Q245" s="8">
        <v>45193</v>
      </c>
      <c r="R245" s="28">
        <v>859.25</v>
      </c>
    </row>
    <row r="246" spans="1:18">
      <c r="A246" s="1" t="s">
        <v>383</v>
      </c>
      <c r="B246" s="6" t="s">
        <v>23</v>
      </c>
      <c r="C246" s="7">
        <v>45348</v>
      </c>
      <c r="D246" s="25">
        <f t="shared" si="6"/>
        <v>2</v>
      </c>
      <c r="E246" s="25">
        <f t="shared" si="7"/>
        <v>2024</v>
      </c>
      <c r="F246" s="7" t="s">
        <v>72</v>
      </c>
      <c r="G246" s="4" t="s">
        <v>110</v>
      </c>
      <c r="H246" s="4" t="s">
        <v>113</v>
      </c>
      <c r="I246" s="9">
        <v>4535</v>
      </c>
      <c r="J246" s="9" t="s">
        <v>137</v>
      </c>
      <c r="K246" s="8">
        <v>45349</v>
      </c>
      <c r="L246" s="21">
        <v>1511.6666666666667</v>
      </c>
      <c r="M246" s="8">
        <v>45378</v>
      </c>
      <c r="N246" s="21">
        <v>1511.6666666666667</v>
      </c>
      <c r="O246" s="8">
        <v>45393</v>
      </c>
      <c r="P246" s="21">
        <v>1511.6666666666667</v>
      </c>
      <c r="Q246" s="8"/>
      <c r="R246" s="28"/>
    </row>
    <row r="247" spans="1:18">
      <c r="A247" s="1" t="s">
        <v>384</v>
      </c>
      <c r="B247" s="6" t="s">
        <v>23</v>
      </c>
      <c r="C247" s="7">
        <v>45090</v>
      </c>
      <c r="D247" s="25">
        <f t="shared" si="6"/>
        <v>6</v>
      </c>
      <c r="E247" s="25">
        <f t="shared" si="7"/>
        <v>2023</v>
      </c>
      <c r="F247" s="7" t="s">
        <v>72</v>
      </c>
      <c r="G247" s="4" t="s">
        <v>110</v>
      </c>
      <c r="H247" s="4" t="s">
        <v>113</v>
      </c>
      <c r="I247" s="9">
        <v>6258</v>
      </c>
      <c r="J247" s="9" t="s">
        <v>137</v>
      </c>
      <c r="K247" s="8">
        <v>45091</v>
      </c>
      <c r="L247" s="21">
        <v>2086</v>
      </c>
      <c r="M247" s="8">
        <v>45120</v>
      </c>
      <c r="N247" s="21">
        <v>2086</v>
      </c>
      <c r="O247" s="8">
        <v>45135</v>
      </c>
      <c r="P247" s="21">
        <v>2086</v>
      </c>
      <c r="Q247" s="8"/>
      <c r="R247" s="28"/>
    </row>
    <row r="248" spans="1:18">
      <c r="A248" s="1" t="s">
        <v>385</v>
      </c>
      <c r="B248" s="6" t="s">
        <v>43</v>
      </c>
      <c r="C248" s="7">
        <v>45463</v>
      </c>
      <c r="D248" s="25">
        <f t="shared" si="6"/>
        <v>6</v>
      </c>
      <c r="E248" s="25">
        <f t="shared" si="7"/>
        <v>2024</v>
      </c>
      <c r="F248" s="7" t="s">
        <v>92</v>
      </c>
      <c r="G248" s="4" t="s">
        <v>110</v>
      </c>
      <c r="H248" s="4" t="s">
        <v>124</v>
      </c>
      <c r="I248" s="9">
        <v>9865</v>
      </c>
      <c r="J248" s="9" t="s">
        <v>137</v>
      </c>
      <c r="K248" s="8">
        <v>45464</v>
      </c>
      <c r="L248" s="21">
        <v>3288.3333333333335</v>
      </c>
      <c r="M248" s="8">
        <v>45493</v>
      </c>
      <c r="N248" s="21">
        <v>3288.3333333333335</v>
      </c>
      <c r="O248" s="8">
        <v>45508</v>
      </c>
      <c r="P248" s="21">
        <v>3288.3333333333335</v>
      </c>
      <c r="Q248" s="8"/>
      <c r="R248" s="28"/>
    </row>
    <row r="249" spans="1:18">
      <c r="A249" s="1" t="s">
        <v>386</v>
      </c>
      <c r="B249" s="6" t="s">
        <v>27</v>
      </c>
      <c r="C249" s="7">
        <v>45267</v>
      </c>
      <c r="D249" s="25">
        <f t="shared" si="6"/>
        <v>12</v>
      </c>
      <c r="E249" s="25">
        <f t="shared" si="7"/>
        <v>2023</v>
      </c>
      <c r="F249" s="7" t="s">
        <v>76</v>
      </c>
      <c r="G249" s="4" t="s">
        <v>110</v>
      </c>
      <c r="H249" s="4" t="s">
        <v>125</v>
      </c>
      <c r="I249" s="9">
        <v>3344</v>
      </c>
      <c r="J249" s="9" t="s">
        <v>138</v>
      </c>
      <c r="K249" s="8">
        <v>45268</v>
      </c>
      <c r="L249" s="21">
        <v>1672</v>
      </c>
      <c r="M249" s="8">
        <v>45297</v>
      </c>
      <c r="N249" s="21">
        <v>1672</v>
      </c>
      <c r="O249" s="8"/>
      <c r="P249" s="21"/>
      <c r="Q249" s="8"/>
      <c r="R249" s="28"/>
    </row>
    <row r="250" spans="1:18">
      <c r="A250" s="1" t="s">
        <v>387</v>
      </c>
      <c r="B250" s="6" t="s">
        <v>25</v>
      </c>
      <c r="C250" s="7">
        <v>45199</v>
      </c>
      <c r="D250" s="25">
        <f t="shared" si="6"/>
        <v>9</v>
      </c>
      <c r="E250" s="25">
        <f t="shared" si="7"/>
        <v>2023</v>
      </c>
      <c r="F250" s="7" t="s">
        <v>74</v>
      </c>
      <c r="G250" s="4" t="s">
        <v>111</v>
      </c>
      <c r="H250" s="4" t="s">
        <v>120</v>
      </c>
      <c r="I250" s="9">
        <v>3488</v>
      </c>
      <c r="J250" s="9" t="s">
        <v>136</v>
      </c>
      <c r="K250" s="8">
        <v>45200</v>
      </c>
      <c r="L250" s="21">
        <v>872</v>
      </c>
      <c r="M250" s="8">
        <v>45229</v>
      </c>
      <c r="N250" s="21">
        <v>872</v>
      </c>
      <c r="O250" s="8">
        <v>45244</v>
      </c>
      <c r="P250" s="21">
        <v>872</v>
      </c>
      <c r="Q250" s="8">
        <v>45259</v>
      </c>
      <c r="R250" s="28">
        <v>872</v>
      </c>
    </row>
    <row r="251" spans="1:18">
      <c r="A251" s="1" t="s">
        <v>388</v>
      </c>
      <c r="B251" s="6" t="s">
        <v>53</v>
      </c>
      <c r="C251" s="7">
        <v>45368</v>
      </c>
      <c r="D251" s="25">
        <f t="shared" si="6"/>
        <v>3</v>
      </c>
      <c r="E251" s="25">
        <f t="shared" si="7"/>
        <v>2024</v>
      </c>
      <c r="F251" s="7" t="s">
        <v>102</v>
      </c>
      <c r="G251" s="4" t="s">
        <v>111</v>
      </c>
      <c r="H251" s="4" t="s">
        <v>117</v>
      </c>
      <c r="I251" s="9">
        <v>6517</v>
      </c>
      <c r="J251" s="9" t="s">
        <v>136</v>
      </c>
      <c r="K251" s="8">
        <v>45369</v>
      </c>
      <c r="L251" s="21">
        <v>1629.25</v>
      </c>
      <c r="M251" s="8">
        <v>45398</v>
      </c>
      <c r="N251" s="21">
        <v>1629.25</v>
      </c>
      <c r="O251" s="8">
        <v>45413</v>
      </c>
      <c r="P251" s="21">
        <v>1629.25</v>
      </c>
      <c r="Q251" s="8">
        <v>45428</v>
      </c>
      <c r="R251" s="28">
        <v>1629.25</v>
      </c>
    </row>
    <row r="252" spans="1:18">
      <c r="A252" s="1" t="s">
        <v>389</v>
      </c>
      <c r="B252" s="6" t="s">
        <v>13</v>
      </c>
      <c r="C252" s="7">
        <v>45400</v>
      </c>
      <c r="D252" s="25">
        <f t="shared" si="6"/>
        <v>4</v>
      </c>
      <c r="E252" s="25">
        <f t="shared" si="7"/>
        <v>2024</v>
      </c>
      <c r="F252" s="7" t="s">
        <v>63</v>
      </c>
      <c r="G252" s="4" t="s">
        <v>111</v>
      </c>
      <c r="H252" s="4" t="s">
        <v>120</v>
      </c>
      <c r="I252" s="9">
        <v>4114</v>
      </c>
      <c r="J252" s="9" t="s">
        <v>137</v>
      </c>
      <c r="K252" s="8">
        <v>45401</v>
      </c>
      <c r="L252" s="21">
        <v>1371.3333333333333</v>
      </c>
      <c r="M252" s="8">
        <v>45430</v>
      </c>
      <c r="N252" s="21">
        <v>1371.3333333333333</v>
      </c>
      <c r="O252" s="8">
        <v>45445</v>
      </c>
      <c r="P252" s="21">
        <v>1371.3333333333333</v>
      </c>
      <c r="Q252" s="8"/>
      <c r="R252" s="28"/>
    </row>
    <row r="253" spans="1:18">
      <c r="A253" s="1" t="s">
        <v>390</v>
      </c>
      <c r="B253" s="6" t="s">
        <v>57</v>
      </c>
      <c r="C253" s="7">
        <v>45338</v>
      </c>
      <c r="D253" s="25">
        <f t="shared" si="6"/>
        <v>2</v>
      </c>
      <c r="E253" s="25">
        <f t="shared" si="7"/>
        <v>2024</v>
      </c>
      <c r="F253" s="7" t="s">
        <v>106</v>
      </c>
      <c r="G253" s="4" t="s">
        <v>112</v>
      </c>
      <c r="H253" s="4" t="s">
        <v>122</v>
      </c>
      <c r="I253" s="9">
        <v>5034</v>
      </c>
      <c r="J253" s="9" t="s">
        <v>126</v>
      </c>
      <c r="K253" s="8">
        <v>45339</v>
      </c>
      <c r="L253" s="21">
        <v>5034</v>
      </c>
      <c r="M253" s="8"/>
      <c r="N253" s="21"/>
      <c r="O253" s="8"/>
      <c r="P253" s="21"/>
      <c r="Q253" s="8"/>
      <c r="R253" s="28"/>
    </row>
    <row r="254" spans="1:18">
      <c r="A254" s="1" t="s">
        <v>391</v>
      </c>
      <c r="B254" s="6" t="s">
        <v>17</v>
      </c>
      <c r="C254" s="7">
        <v>45283</v>
      </c>
      <c r="D254" s="25">
        <f t="shared" si="6"/>
        <v>12</v>
      </c>
      <c r="E254" s="25">
        <f t="shared" si="7"/>
        <v>2023</v>
      </c>
      <c r="F254" s="7" t="s">
        <v>66</v>
      </c>
      <c r="G254" s="4" t="s">
        <v>110</v>
      </c>
      <c r="H254" s="4" t="s">
        <v>114</v>
      </c>
      <c r="I254" s="9">
        <v>3245</v>
      </c>
      <c r="J254" s="9" t="s">
        <v>136</v>
      </c>
      <c r="K254" s="8">
        <v>45284</v>
      </c>
      <c r="L254" s="21">
        <v>811.25</v>
      </c>
      <c r="M254" s="8">
        <v>45313</v>
      </c>
      <c r="N254" s="21">
        <v>811.25</v>
      </c>
      <c r="O254" s="8">
        <v>45328</v>
      </c>
      <c r="P254" s="21">
        <v>811.25</v>
      </c>
      <c r="Q254" s="8">
        <v>45343</v>
      </c>
      <c r="R254" s="28">
        <v>811.25</v>
      </c>
    </row>
    <row r="255" spans="1:18">
      <c r="A255" s="1" t="s">
        <v>392</v>
      </c>
      <c r="B255" s="6" t="s">
        <v>46</v>
      </c>
      <c r="C255" s="7">
        <v>45411</v>
      </c>
      <c r="D255" s="25">
        <f t="shared" si="6"/>
        <v>4</v>
      </c>
      <c r="E255" s="25">
        <f t="shared" si="7"/>
        <v>2024</v>
      </c>
      <c r="F255" s="7" t="s">
        <v>95</v>
      </c>
      <c r="G255" s="4" t="s">
        <v>112</v>
      </c>
      <c r="H255" s="4" t="s">
        <v>122</v>
      </c>
      <c r="I255" s="9">
        <v>8733</v>
      </c>
      <c r="J255" s="9" t="s">
        <v>126</v>
      </c>
      <c r="K255" s="8">
        <v>45412</v>
      </c>
      <c r="L255" s="21">
        <v>8733</v>
      </c>
      <c r="M255" s="8"/>
      <c r="N255" s="21"/>
      <c r="O255" s="8"/>
      <c r="P255" s="21"/>
      <c r="Q255" s="8"/>
      <c r="R255" s="28"/>
    </row>
    <row r="256" spans="1:18">
      <c r="A256" s="1" t="s">
        <v>393</v>
      </c>
      <c r="B256" s="6" t="s">
        <v>30</v>
      </c>
      <c r="C256" s="7">
        <v>45292</v>
      </c>
      <c r="D256" s="25">
        <f t="shared" si="6"/>
        <v>1</v>
      </c>
      <c r="E256" s="25">
        <f t="shared" si="7"/>
        <v>2024</v>
      </c>
      <c r="F256" s="7" t="s">
        <v>79</v>
      </c>
      <c r="G256" s="4" t="s">
        <v>111</v>
      </c>
      <c r="H256" s="4" t="s">
        <v>118</v>
      </c>
      <c r="I256" s="9">
        <v>7791</v>
      </c>
      <c r="J256" s="9" t="s">
        <v>137</v>
      </c>
      <c r="K256" s="8">
        <v>45293</v>
      </c>
      <c r="L256" s="21">
        <v>2597</v>
      </c>
      <c r="M256" s="8">
        <v>45322</v>
      </c>
      <c r="N256" s="21">
        <v>2597</v>
      </c>
      <c r="O256" s="8">
        <v>45337</v>
      </c>
      <c r="P256" s="21">
        <v>2597</v>
      </c>
      <c r="Q256" s="8"/>
      <c r="R256" s="28"/>
    </row>
    <row r="257" spans="1:18">
      <c r="A257" s="1" t="s">
        <v>394</v>
      </c>
      <c r="B257" s="6" t="s">
        <v>21</v>
      </c>
      <c r="C257" s="7">
        <v>45309</v>
      </c>
      <c r="D257" s="25">
        <f t="shared" si="6"/>
        <v>1</v>
      </c>
      <c r="E257" s="25">
        <f t="shared" si="7"/>
        <v>2024</v>
      </c>
      <c r="F257" s="7" t="s">
        <v>70</v>
      </c>
      <c r="G257" s="4" t="s">
        <v>110</v>
      </c>
      <c r="H257" s="4" t="s">
        <v>124</v>
      </c>
      <c r="I257" s="9">
        <v>7219</v>
      </c>
      <c r="J257" s="9" t="s">
        <v>137</v>
      </c>
      <c r="K257" s="8">
        <v>45310</v>
      </c>
      <c r="L257" s="21">
        <v>2406.3333333333335</v>
      </c>
      <c r="M257" s="8">
        <v>45339</v>
      </c>
      <c r="N257" s="21">
        <v>2406.3333333333335</v>
      </c>
      <c r="O257" s="8">
        <v>45354</v>
      </c>
      <c r="P257" s="21">
        <v>2406.3333333333335</v>
      </c>
      <c r="Q257" s="8"/>
      <c r="R257" s="28"/>
    </row>
    <row r="258" spans="1:18">
      <c r="A258" s="1" t="s">
        <v>395</v>
      </c>
      <c r="B258" s="6" t="s">
        <v>51</v>
      </c>
      <c r="C258" s="7">
        <v>45452</v>
      </c>
      <c r="D258" s="25">
        <f t="shared" si="6"/>
        <v>6</v>
      </c>
      <c r="E258" s="25">
        <f t="shared" si="7"/>
        <v>2024</v>
      </c>
      <c r="F258" s="7" t="s">
        <v>100</v>
      </c>
      <c r="G258" s="4" t="s">
        <v>111</v>
      </c>
      <c r="H258" s="4" t="s">
        <v>121</v>
      </c>
      <c r="I258" s="9">
        <v>8725</v>
      </c>
      <c r="J258" s="9" t="s">
        <v>136</v>
      </c>
      <c r="K258" s="8">
        <v>45453</v>
      </c>
      <c r="L258" s="21">
        <v>2181.25</v>
      </c>
      <c r="M258" s="8">
        <v>45482</v>
      </c>
      <c r="N258" s="21">
        <v>2181.25</v>
      </c>
      <c r="O258" s="8">
        <v>45497</v>
      </c>
      <c r="P258" s="21">
        <v>2181.25</v>
      </c>
      <c r="Q258" s="8">
        <v>45512</v>
      </c>
      <c r="R258" s="28">
        <v>2181.25</v>
      </c>
    </row>
    <row r="259" spans="1:18">
      <c r="A259" s="1" t="s">
        <v>396</v>
      </c>
      <c r="B259" s="6" t="s">
        <v>57</v>
      </c>
      <c r="C259" s="7">
        <v>45221</v>
      </c>
      <c r="D259" s="25">
        <f t="shared" si="6"/>
        <v>10</v>
      </c>
      <c r="E259" s="25">
        <f t="shared" si="7"/>
        <v>2023</v>
      </c>
      <c r="F259" s="7" t="s">
        <v>106</v>
      </c>
      <c r="G259" s="4" t="s">
        <v>112</v>
      </c>
      <c r="H259" s="4" t="s">
        <v>122</v>
      </c>
      <c r="I259" s="9">
        <v>4117</v>
      </c>
      <c r="J259" s="9" t="s">
        <v>126</v>
      </c>
      <c r="K259" s="8">
        <v>45222</v>
      </c>
      <c r="L259" s="21">
        <v>4117</v>
      </c>
      <c r="M259" s="8"/>
      <c r="N259" s="21"/>
      <c r="O259" s="8"/>
      <c r="P259" s="21"/>
      <c r="Q259" s="8"/>
      <c r="R259" s="28"/>
    </row>
    <row r="260" spans="1:18">
      <c r="A260" s="1" t="s">
        <v>397</v>
      </c>
      <c r="B260" s="6" t="s">
        <v>16</v>
      </c>
      <c r="C260" s="7">
        <v>45224</v>
      </c>
      <c r="D260" s="25">
        <f t="shared" ref="D260:D323" si="8">MONTH(C260)</f>
        <v>10</v>
      </c>
      <c r="E260" s="25">
        <f t="shared" ref="E260:E323" si="9">YEAR(C260)</f>
        <v>2023</v>
      </c>
      <c r="F260" s="7" t="s">
        <v>65</v>
      </c>
      <c r="G260" s="4" t="s">
        <v>110</v>
      </c>
      <c r="H260" s="4" t="s">
        <v>125</v>
      </c>
      <c r="I260" s="9">
        <v>3894</v>
      </c>
      <c r="J260" s="9" t="s">
        <v>138</v>
      </c>
      <c r="K260" s="8">
        <v>45225</v>
      </c>
      <c r="L260" s="21">
        <v>1947</v>
      </c>
      <c r="M260" s="8">
        <v>45254</v>
      </c>
      <c r="N260" s="21">
        <v>1947</v>
      </c>
      <c r="O260" s="8"/>
      <c r="P260" s="21"/>
      <c r="Q260" s="8"/>
      <c r="R260" s="28"/>
    </row>
    <row r="261" spans="1:18">
      <c r="A261" s="1" t="s">
        <v>398</v>
      </c>
      <c r="B261" s="6" t="s">
        <v>12</v>
      </c>
      <c r="C261" s="7">
        <v>45368</v>
      </c>
      <c r="D261" s="25">
        <f t="shared" si="8"/>
        <v>3</v>
      </c>
      <c r="E261" s="25">
        <f t="shared" si="9"/>
        <v>2024</v>
      </c>
      <c r="F261" s="7" t="s">
        <v>62</v>
      </c>
      <c r="G261" s="4" t="s">
        <v>112</v>
      </c>
      <c r="H261" s="4" t="s">
        <v>122</v>
      </c>
      <c r="I261" s="9">
        <v>8800</v>
      </c>
      <c r="J261" s="9" t="s">
        <v>126</v>
      </c>
      <c r="K261" s="8">
        <v>45369</v>
      </c>
      <c r="L261" s="21">
        <v>8800</v>
      </c>
      <c r="M261" s="8"/>
      <c r="N261" s="21"/>
      <c r="O261" s="8"/>
      <c r="P261" s="21"/>
      <c r="Q261" s="8"/>
      <c r="R261" s="28"/>
    </row>
    <row r="262" spans="1:18">
      <c r="A262" s="1" t="s">
        <v>399</v>
      </c>
      <c r="B262" s="6" t="s">
        <v>33</v>
      </c>
      <c r="C262" s="7">
        <v>45208</v>
      </c>
      <c r="D262" s="25">
        <f t="shared" si="8"/>
        <v>10</v>
      </c>
      <c r="E262" s="25">
        <f t="shared" si="9"/>
        <v>2023</v>
      </c>
      <c r="F262" s="7" t="s">
        <v>82</v>
      </c>
      <c r="G262" s="4" t="s">
        <v>111</v>
      </c>
      <c r="H262" s="4" t="s">
        <v>119</v>
      </c>
      <c r="I262" s="9">
        <v>6917</v>
      </c>
      <c r="J262" s="9" t="s">
        <v>137</v>
      </c>
      <c r="K262" s="8">
        <v>45209</v>
      </c>
      <c r="L262" s="21">
        <v>2305.6666666666665</v>
      </c>
      <c r="M262" s="8">
        <v>45238</v>
      </c>
      <c r="N262" s="21">
        <v>2305.6666666666665</v>
      </c>
      <c r="O262" s="8">
        <v>45253</v>
      </c>
      <c r="P262" s="21">
        <v>2305.6666666666665</v>
      </c>
      <c r="Q262" s="8"/>
      <c r="R262" s="28"/>
    </row>
    <row r="263" spans="1:18">
      <c r="A263" s="1" t="s">
        <v>400</v>
      </c>
      <c r="B263" s="6" t="s">
        <v>14</v>
      </c>
      <c r="C263" s="7">
        <v>45537</v>
      </c>
      <c r="D263" s="25">
        <f t="shared" si="8"/>
        <v>9</v>
      </c>
      <c r="E263" s="25">
        <f t="shared" si="9"/>
        <v>2024</v>
      </c>
      <c r="F263" s="7" t="s">
        <v>61</v>
      </c>
      <c r="G263" s="4" t="s">
        <v>110</v>
      </c>
      <c r="H263" s="4" t="s">
        <v>113</v>
      </c>
      <c r="I263" s="9">
        <v>7098</v>
      </c>
      <c r="J263" s="9" t="s">
        <v>138</v>
      </c>
      <c r="K263" s="8">
        <v>45538</v>
      </c>
      <c r="L263" s="21">
        <v>3549</v>
      </c>
      <c r="M263" s="8">
        <v>45567</v>
      </c>
      <c r="N263" s="21">
        <v>3549</v>
      </c>
      <c r="O263" s="8"/>
      <c r="P263" s="21"/>
      <c r="Q263" s="8"/>
      <c r="R263" s="28"/>
    </row>
    <row r="264" spans="1:18">
      <c r="A264" s="1" t="s">
        <v>401</v>
      </c>
      <c r="B264" s="6" t="s">
        <v>21</v>
      </c>
      <c r="C264" s="7">
        <v>45395</v>
      </c>
      <c r="D264" s="25">
        <f t="shared" si="8"/>
        <v>4</v>
      </c>
      <c r="E264" s="25">
        <f t="shared" si="9"/>
        <v>2024</v>
      </c>
      <c r="F264" s="7" t="s">
        <v>70</v>
      </c>
      <c r="G264" s="4" t="s">
        <v>110</v>
      </c>
      <c r="H264" s="4" t="s">
        <v>124</v>
      </c>
      <c r="I264" s="9">
        <v>7136</v>
      </c>
      <c r="J264" s="9" t="s">
        <v>138</v>
      </c>
      <c r="K264" s="8">
        <v>45396</v>
      </c>
      <c r="L264" s="21">
        <v>3568</v>
      </c>
      <c r="M264" s="8">
        <v>45425</v>
      </c>
      <c r="N264" s="21">
        <v>3568</v>
      </c>
      <c r="O264" s="8"/>
      <c r="P264" s="21"/>
      <c r="Q264" s="8"/>
      <c r="R264" s="28"/>
    </row>
    <row r="265" spans="1:18">
      <c r="A265" s="1" t="s">
        <v>402</v>
      </c>
      <c r="B265" s="6" t="s">
        <v>42</v>
      </c>
      <c r="C265" s="7">
        <v>45133</v>
      </c>
      <c r="D265" s="25">
        <f t="shared" si="8"/>
        <v>7</v>
      </c>
      <c r="E265" s="25">
        <f t="shared" si="9"/>
        <v>2023</v>
      </c>
      <c r="F265" s="7" t="s">
        <v>91</v>
      </c>
      <c r="G265" s="4" t="s">
        <v>111</v>
      </c>
      <c r="H265" s="4" t="s">
        <v>117</v>
      </c>
      <c r="I265" s="9">
        <v>9829</v>
      </c>
      <c r="J265" s="9" t="s">
        <v>136</v>
      </c>
      <c r="K265" s="8">
        <v>45134</v>
      </c>
      <c r="L265" s="21">
        <v>2457.25</v>
      </c>
      <c r="M265" s="8">
        <v>45163</v>
      </c>
      <c r="N265" s="21">
        <v>2457.25</v>
      </c>
      <c r="O265" s="8">
        <v>45178</v>
      </c>
      <c r="P265" s="21">
        <v>2457.25</v>
      </c>
      <c r="Q265" s="8">
        <v>45193</v>
      </c>
      <c r="R265" s="28">
        <v>2457.25</v>
      </c>
    </row>
    <row r="266" spans="1:18">
      <c r="A266" s="1" t="s">
        <v>403</v>
      </c>
      <c r="B266" s="6" t="s">
        <v>51</v>
      </c>
      <c r="C266" s="7">
        <v>45448</v>
      </c>
      <c r="D266" s="25">
        <f t="shared" si="8"/>
        <v>6</v>
      </c>
      <c r="E266" s="25">
        <f t="shared" si="9"/>
        <v>2024</v>
      </c>
      <c r="F266" s="7" t="s">
        <v>100</v>
      </c>
      <c r="G266" s="4" t="s">
        <v>111</v>
      </c>
      <c r="H266" s="4" t="s">
        <v>121</v>
      </c>
      <c r="I266" s="9">
        <v>3126</v>
      </c>
      <c r="J266" s="9" t="s">
        <v>126</v>
      </c>
      <c r="K266" s="8">
        <v>45449</v>
      </c>
      <c r="L266" s="21">
        <v>3126</v>
      </c>
      <c r="M266" s="8"/>
      <c r="N266" s="21"/>
      <c r="O266" s="8"/>
      <c r="P266" s="21"/>
      <c r="Q266" s="8"/>
      <c r="R266" s="28"/>
    </row>
    <row r="267" spans="1:18">
      <c r="A267" s="1" t="s">
        <v>404</v>
      </c>
      <c r="B267" s="6" t="s">
        <v>27</v>
      </c>
      <c r="C267" s="7">
        <v>45474</v>
      </c>
      <c r="D267" s="25">
        <f t="shared" si="8"/>
        <v>7</v>
      </c>
      <c r="E267" s="25">
        <f t="shared" si="9"/>
        <v>2024</v>
      </c>
      <c r="F267" s="7" t="s">
        <v>76</v>
      </c>
      <c r="G267" s="4" t="s">
        <v>110</v>
      </c>
      <c r="H267" s="4" t="s">
        <v>125</v>
      </c>
      <c r="I267" s="9">
        <v>567</v>
      </c>
      <c r="J267" s="9" t="s">
        <v>137</v>
      </c>
      <c r="K267" s="8">
        <v>45475</v>
      </c>
      <c r="L267" s="21">
        <v>189</v>
      </c>
      <c r="M267" s="8">
        <v>45504</v>
      </c>
      <c r="N267" s="21">
        <v>189</v>
      </c>
      <c r="O267" s="8">
        <v>45519</v>
      </c>
      <c r="P267" s="21">
        <v>189</v>
      </c>
      <c r="Q267" s="8"/>
      <c r="R267" s="28"/>
    </row>
    <row r="268" spans="1:18">
      <c r="A268" s="1" t="s">
        <v>405</v>
      </c>
      <c r="B268" s="6" t="s">
        <v>28</v>
      </c>
      <c r="C268" s="7">
        <v>45134</v>
      </c>
      <c r="D268" s="25">
        <f t="shared" si="8"/>
        <v>7</v>
      </c>
      <c r="E268" s="25">
        <f t="shared" si="9"/>
        <v>2023</v>
      </c>
      <c r="F268" s="7" t="s">
        <v>77</v>
      </c>
      <c r="G268" s="4" t="s">
        <v>110</v>
      </c>
      <c r="H268" s="4" t="s">
        <v>114</v>
      </c>
      <c r="I268" s="9">
        <v>6718</v>
      </c>
      <c r="J268" s="9" t="s">
        <v>138</v>
      </c>
      <c r="K268" s="8">
        <v>45135</v>
      </c>
      <c r="L268" s="21">
        <v>3359</v>
      </c>
      <c r="M268" s="8">
        <v>45164</v>
      </c>
      <c r="N268" s="21">
        <v>3359</v>
      </c>
      <c r="O268" s="8"/>
      <c r="P268" s="21"/>
      <c r="Q268" s="8"/>
      <c r="R268" s="28"/>
    </row>
    <row r="269" spans="1:18">
      <c r="A269" s="1" t="s">
        <v>406</v>
      </c>
      <c r="B269" s="6" t="s">
        <v>52</v>
      </c>
      <c r="C269" s="7">
        <v>45392</v>
      </c>
      <c r="D269" s="25">
        <f t="shared" si="8"/>
        <v>4</v>
      </c>
      <c r="E269" s="25">
        <f t="shared" si="9"/>
        <v>2024</v>
      </c>
      <c r="F269" s="7" t="s">
        <v>101</v>
      </c>
      <c r="G269" s="4" t="s">
        <v>111</v>
      </c>
      <c r="H269" s="4" t="s">
        <v>118</v>
      </c>
      <c r="I269" s="9">
        <v>2248</v>
      </c>
      <c r="J269" s="9" t="s">
        <v>136</v>
      </c>
      <c r="K269" s="8">
        <v>45393</v>
      </c>
      <c r="L269" s="21">
        <v>562</v>
      </c>
      <c r="M269" s="8">
        <v>45422</v>
      </c>
      <c r="N269" s="21">
        <v>562</v>
      </c>
      <c r="O269" s="8">
        <v>45437</v>
      </c>
      <c r="P269" s="21">
        <v>562</v>
      </c>
      <c r="Q269" s="8">
        <v>45452</v>
      </c>
      <c r="R269" s="28">
        <v>562</v>
      </c>
    </row>
    <row r="270" spans="1:18">
      <c r="A270" s="1" t="s">
        <v>407</v>
      </c>
      <c r="B270" s="6" t="s">
        <v>33</v>
      </c>
      <c r="C270" s="7">
        <v>45342</v>
      </c>
      <c r="D270" s="25">
        <f t="shared" si="8"/>
        <v>2</v>
      </c>
      <c r="E270" s="25">
        <f t="shared" si="9"/>
        <v>2024</v>
      </c>
      <c r="F270" s="7" t="s">
        <v>82</v>
      </c>
      <c r="G270" s="4" t="s">
        <v>111</v>
      </c>
      <c r="H270" s="4" t="s">
        <v>119</v>
      </c>
      <c r="I270" s="9">
        <v>1279</v>
      </c>
      <c r="J270" s="9" t="s">
        <v>138</v>
      </c>
      <c r="K270" s="8">
        <v>45343</v>
      </c>
      <c r="L270" s="21">
        <v>639.5</v>
      </c>
      <c r="M270" s="8">
        <v>45372</v>
      </c>
      <c r="N270" s="21">
        <v>639.5</v>
      </c>
      <c r="O270" s="8"/>
      <c r="P270" s="21"/>
      <c r="Q270" s="8"/>
      <c r="R270" s="28"/>
    </row>
    <row r="271" spans="1:18">
      <c r="A271" s="1" t="s">
        <v>408</v>
      </c>
      <c r="B271" s="6" t="s">
        <v>46</v>
      </c>
      <c r="C271" s="7">
        <v>45206</v>
      </c>
      <c r="D271" s="25">
        <f t="shared" si="8"/>
        <v>10</v>
      </c>
      <c r="E271" s="25">
        <f t="shared" si="9"/>
        <v>2023</v>
      </c>
      <c r="F271" s="7" t="s">
        <v>95</v>
      </c>
      <c r="G271" s="4" t="s">
        <v>112</v>
      </c>
      <c r="H271" s="4" t="s">
        <v>122</v>
      </c>
      <c r="I271" s="9">
        <v>5377</v>
      </c>
      <c r="J271" s="9" t="s">
        <v>126</v>
      </c>
      <c r="K271" s="8">
        <v>45207</v>
      </c>
      <c r="L271" s="21">
        <v>5377</v>
      </c>
      <c r="M271" s="8"/>
      <c r="N271" s="21"/>
      <c r="O271" s="8"/>
      <c r="P271" s="21"/>
      <c r="Q271" s="8"/>
      <c r="R271" s="28"/>
    </row>
    <row r="272" spans="1:18">
      <c r="A272" s="1" t="s">
        <v>409</v>
      </c>
      <c r="B272" s="6" t="s">
        <v>20</v>
      </c>
      <c r="C272" s="7">
        <v>45203</v>
      </c>
      <c r="D272" s="25">
        <f t="shared" si="8"/>
        <v>10</v>
      </c>
      <c r="E272" s="25">
        <f t="shared" si="9"/>
        <v>2023</v>
      </c>
      <c r="F272" s="7" t="s">
        <v>69</v>
      </c>
      <c r="G272" s="4" t="s">
        <v>111</v>
      </c>
      <c r="H272" s="4" t="s">
        <v>117</v>
      </c>
      <c r="I272" s="9">
        <v>8289</v>
      </c>
      <c r="J272" s="9" t="s">
        <v>126</v>
      </c>
      <c r="K272" s="8">
        <v>45204</v>
      </c>
      <c r="L272" s="21">
        <v>8289</v>
      </c>
      <c r="M272" s="8"/>
      <c r="N272" s="21"/>
      <c r="O272" s="8"/>
      <c r="P272" s="21"/>
      <c r="Q272" s="8"/>
      <c r="R272" s="28"/>
    </row>
    <row r="273" spans="1:18">
      <c r="A273" s="1" t="s">
        <v>410</v>
      </c>
      <c r="B273" s="6" t="s">
        <v>33</v>
      </c>
      <c r="C273" s="7">
        <v>45168</v>
      </c>
      <c r="D273" s="25">
        <f t="shared" si="8"/>
        <v>8</v>
      </c>
      <c r="E273" s="25">
        <f t="shared" si="9"/>
        <v>2023</v>
      </c>
      <c r="F273" s="7" t="s">
        <v>82</v>
      </c>
      <c r="G273" s="4" t="s">
        <v>111</v>
      </c>
      <c r="H273" s="4" t="s">
        <v>119</v>
      </c>
      <c r="I273" s="9">
        <v>1910</v>
      </c>
      <c r="J273" s="9" t="s">
        <v>138</v>
      </c>
      <c r="K273" s="8">
        <v>45169</v>
      </c>
      <c r="L273" s="21">
        <v>955</v>
      </c>
      <c r="M273" s="8">
        <v>45198</v>
      </c>
      <c r="N273" s="21">
        <v>955</v>
      </c>
      <c r="O273" s="8"/>
      <c r="P273" s="21"/>
      <c r="Q273" s="8"/>
      <c r="R273" s="28"/>
    </row>
    <row r="274" spans="1:18">
      <c r="A274" s="1" t="s">
        <v>411</v>
      </c>
      <c r="B274" s="6" t="s">
        <v>14</v>
      </c>
      <c r="C274" s="7">
        <v>45300</v>
      </c>
      <c r="D274" s="25">
        <f t="shared" si="8"/>
        <v>1</v>
      </c>
      <c r="E274" s="25">
        <f t="shared" si="9"/>
        <v>2024</v>
      </c>
      <c r="F274" s="7" t="s">
        <v>61</v>
      </c>
      <c r="G274" s="4" t="s">
        <v>110</v>
      </c>
      <c r="H274" s="4" t="s">
        <v>113</v>
      </c>
      <c r="I274" s="9">
        <v>5586</v>
      </c>
      <c r="J274" s="9" t="s">
        <v>138</v>
      </c>
      <c r="K274" s="8">
        <v>45301</v>
      </c>
      <c r="L274" s="21">
        <v>2793</v>
      </c>
      <c r="M274" s="8">
        <v>45330</v>
      </c>
      <c r="N274" s="21">
        <v>2793</v>
      </c>
      <c r="O274" s="8"/>
      <c r="P274" s="21"/>
      <c r="Q274" s="8"/>
      <c r="R274" s="28"/>
    </row>
    <row r="275" spans="1:18">
      <c r="A275" s="1" t="s">
        <v>412</v>
      </c>
      <c r="B275" s="6" t="s">
        <v>15</v>
      </c>
      <c r="C275" s="7">
        <v>45377</v>
      </c>
      <c r="D275" s="25">
        <f t="shared" si="8"/>
        <v>3</v>
      </c>
      <c r="E275" s="25">
        <f t="shared" si="9"/>
        <v>2024</v>
      </c>
      <c r="F275" s="7" t="s">
        <v>64</v>
      </c>
      <c r="G275" s="4" t="s">
        <v>112</v>
      </c>
      <c r="H275" s="4" t="s">
        <v>123</v>
      </c>
      <c r="I275" s="9">
        <v>6304</v>
      </c>
      <c r="J275" s="9" t="s">
        <v>126</v>
      </c>
      <c r="K275" s="8">
        <v>45378</v>
      </c>
      <c r="L275" s="21">
        <v>6304</v>
      </c>
      <c r="M275" s="8"/>
      <c r="N275" s="21"/>
      <c r="O275" s="8"/>
      <c r="P275" s="21"/>
      <c r="Q275" s="8"/>
      <c r="R275" s="28"/>
    </row>
    <row r="276" spans="1:18">
      <c r="A276" s="1" t="s">
        <v>413</v>
      </c>
      <c r="B276" s="6" t="s">
        <v>32</v>
      </c>
      <c r="C276" s="7">
        <v>45260</v>
      </c>
      <c r="D276" s="25">
        <f t="shared" si="8"/>
        <v>11</v>
      </c>
      <c r="E276" s="25">
        <f t="shared" si="9"/>
        <v>2023</v>
      </c>
      <c r="F276" s="7" t="s">
        <v>81</v>
      </c>
      <c r="G276" s="4" t="s">
        <v>110</v>
      </c>
      <c r="H276" s="4" t="s">
        <v>124</v>
      </c>
      <c r="I276" s="9">
        <v>9891</v>
      </c>
      <c r="J276" s="9" t="s">
        <v>137</v>
      </c>
      <c r="K276" s="8">
        <v>45261</v>
      </c>
      <c r="L276" s="21">
        <v>3297</v>
      </c>
      <c r="M276" s="8">
        <v>45290</v>
      </c>
      <c r="N276" s="21">
        <v>3297</v>
      </c>
      <c r="O276" s="8">
        <v>45305</v>
      </c>
      <c r="P276" s="21">
        <v>3297</v>
      </c>
      <c r="Q276" s="8"/>
      <c r="R276" s="28"/>
    </row>
    <row r="277" spans="1:18">
      <c r="A277" s="1" t="s">
        <v>414</v>
      </c>
      <c r="B277" s="6" t="s">
        <v>55</v>
      </c>
      <c r="C277" s="7">
        <v>45164</v>
      </c>
      <c r="D277" s="25">
        <f t="shared" si="8"/>
        <v>8</v>
      </c>
      <c r="E277" s="25">
        <f t="shared" si="9"/>
        <v>2023</v>
      </c>
      <c r="F277" s="7" t="s">
        <v>104</v>
      </c>
      <c r="G277" s="4" t="s">
        <v>111</v>
      </c>
      <c r="H277" s="4" t="s">
        <v>119</v>
      </c>
      <c r="I277" s="9">
        <v>6316</v>
      </c>
      <c r="J277" s="9" t="s">
        <v>136</v>
      </c>
      <c r="K277" s="8">
        <v>45165</v>
      </c>
      <c r="L277" s="21">
        <v>1579</v>
      </c>
      <c r="M277" s="8">
        <v>45194</v>
      </c>
      <c r="N277" s="21">
        <v>1579</v>
      </c>
      <c r="O277" s="8">
        <v>45209</v>
      </c>
      <c r="P277" s="21">
        <v>1579</v>
      </c>
      <c r="Q277" s="8">
        <v>45224</v>
      </c>
      <c r="R277" s="28">
        <v>1579</v>
      </c>
    </row>
    <row r="278" spans="1:18">
      <c r="A278" s="1" t="s">
        <v>415</v>
      </c>
      <c r="B278" s="6" t="s">
        <v>14</v>
      </c>
      <c r="C278" s="7">
        <v>45151</v>
      </c>
      <c r="D278" s="25">
        <f t="shared" si="8"/>
        <v>8</v>
      </c>
      <c r="E278" s="25">
        <f t="shared" si="9"/>
        <v>2023</v>
      </c>
      <c r="F278" s="7" t="s">
        <v>61</v>
      </c>
      <c r="G278" s="4" t="s">
        <v>110</v>
      </c>
      <c r="H278" s="4" t="s">
        <v>113</v>
      </c>
      <c r="I278" s="9">
        <v>564</v>
      </c>
      <c r="J278" s="9" t="s">
        <v>136</v>
      </c>
      <c r="K278" s="8">
        <v>45152</v>
      </c>
      <c r="L278" s="21">
        <v>141</v>
      </c>
      <c r="M278" s="8">
        <v>45181</v>
      </c>
      <c r="N278" s="21">
        <v>141</v>
      </c>
      <c r="O278" s="8">
        <v>45196</v>
      </c>
      <c r="P278" s="21">
        <v>141</v>
      </c>
      <c r="Q278" s="8">
        <v>45211</v>
      </c>
      <c r="R278" s="28">
        <v>141</v>
      </c>
    </row>
    <row r="279" spans="1:18">
      <c r="A279" s="1" t="s">
        <v>416</v>
      </c>
      <c r="B279" s="6" t="s">
        <v>40</v>
      </c>
      <c r="C279" s="7">
        <v>45382</v>
      </c>
      <c r="D279" s="25">
        <f t="shared" si="8"/>
        <v>3</v>
      </c>
      <c r="E279" s="25">
        <f t="shared" si="9"/>
        <v>2024</v>
      </c>
      <c r="F279" s="7" t="s">
        <v>89</v>
      </c>
      <c r="G279" s="4" t="s">
        <v>111</v>
      </c>
      <c r="H279" s="4" t="s">
        <v>121</v>
      </c>
      <c r="I279" s="9">
        <v>6948</v>
      </c>
      <c r="J279" s="9" t="s">
        <v>137</v>
      </c>
      <c r="K279" s="8">
        <v>45383</v>
      </c>
      <c r="L279" s="21">
        <v>2316</v>
      </c>
      <c r="M279" s="8">
        <v>45412</v>
      </c>
      <c r="N279" s="21">
        <v>2316</v>
      </c>
      <c r="O279" s="8">
        <v>45427</v>
      </c>
      <c r="P279" s="21">
        <v>2316</v>
      </c>
      <c r="Q279" s="8"/>
      <c r="R279" s="28"/>
    </row>
    <row r="280" spans="1:18">
      <c r="A280" s="1" t="s">
        <v>237</v>
      </c>
      <c r="B280" s="6" t="s">
        <v>24</v>
      </c>
      <c r="C280" s="7">
        <v>45369</v>
      </c>
      <c r="D280" s="25">
        <f t="shared" si="8"/>
        <v>3</v>
      </c>
      <c r="E280" s="25">
        <f t="shared" si="9"/>
        <v>2024</v>
      </c>
      <c r="F280" s="7" t="s">
        <v>73</v>
      </c>
      <c r="G280" s="4" t="s">
        <v>112</v>
      </c>
      <c r="H280" s="4" t="s">
        <v>122</v>
      </c>
      <c r="I280" s="9">
        <v>1836</v>
      </c>
      <c r="J280" s="9" t="s">
        <v>126</v>
      </c>
      <c r="K280" s="8">
        <v>45370</v>
      </c>
      <c r="L280" s="21">
        <v>1836</v>
      </c>
      <c r="M280" s="8"/>
      <c r="N280" s="21"/>
      <c r="O280" s="8"/>
      <c r="P280" s="21"/>
      <c r="Q280" s="8"/>
      <c r="R280" s="28"/>
    </row>
    <row r="281" spans="1:18">
      <c r="A281" s="1" t="s">
        <v>417</v>
      </c>
      <c r="B281" s="6" t="s">
        <v>42</v>
      </c>
      <c r="C281" s="7">
        <v>45319</v>
      </c>
      <c r="D281" s="25">
        <f t="shared" si="8"/>
        <v>1</v>
      </c>
      <c r="E281" s="25">
        <f t="shared" si="9"/>
        <v>2024</v>
      </c>
      <c r="F281" s="7" t="s">
        <v>91</v>
      </c>
      <c r="G281" s="4" t="s">
        <v>111</v>
      </c>
      <c r="H281" s="4" t="s">
        <v>117</v>
      </c>
      <c r="I281" s="9">
        <v>9553</v>
      </c>
      <c r="J281" s="9" t="s">
        <v>126</v>
      </c>
      <c r="K281" s="8">
        <v>45320</v>
      </c>
      <c r="L281" s="21">
        <v>9553</v>
      </c>
      <c r="M281" s="8"/>
      <c r="N281" s="21"/>
      <c r="O281" s="8"/>
      <c r="P281" s="21"/>
      <c r="Q281" s="8"/>
      <c r="R281" s="28"/>
    </row>
    <row r="282" spans="1:18">
      <c r="A282" s="1" t="s">
        <v>418</v>
      </c>
      <c r="B282" s="6" t="s">
        <v>36</v>
      </c>
      <c r="C282" s="7">
        <v>45169</v>
      </c>
      <c r="D282" s="25">
        <f t="shared" si="8"/>
        <v>8</v>
      </c>
      <c r="E282" s="25">
        <f t="shared" si="9"/>
        <v>2023</v>
      </c>
      <c r="F282" s="7" t="s">
        <v>85</v>
      </c>
      <c r="G282" s="4" t="s">
        <v>111</v>
      </c>
      <c r="H282" s="4" t="s">
        <v>120</v>
      </c>
      <c r="I282" s="9">
        <v>7858</v>
      </c>
      <c r="J282" s="9" t="s">
        <v>138</v>
      </c>
      <c r="K282" s="8">
        <v>45170</v>
      </c>
      <c r="L282" s="21">
        <v>3929</v>
      </c>
      <c r="M282" s="8">
        <v>45199</v>
      </c>
      <c r="N282" s="21">
        <v>3929</v>
      </c>
      <c r="O282" s="8"/>
      <c r="P282" s="21"/>
      <c r="Q282" s="8"/>
      <c r="R282" s="28"/>
    </row>
    <row r="283" spans="1:18">
      <c r="A283" s="1" t="s">
        <v>419</v>
      </c>
      <c r="B283" s="6" t="s">
        <v>15</v>
      </c>
      <c r="C283" s="7">
        <v>45272</v>
      </c>
      <c r="D283" s="25">
        <f t="shared" si="8"/>
        <v>12</v>
      </c>
      <c r="E283" s="25">
        <f t="shared" si="9"/>
        <v>2023</v>
      </c>
      <c r="F283" s="7" t="s">
        <v>64</v>
      </c>
      <c r="G283" s="4" t="s">
        <v>112</v>
      </c>
      <c r="H283" s="4" t="s">
        <v>123</v>
      </c>
      <c r="I283" s="9">
        <v>1293</v>
      </c>
      <c r="J283" s="9" t="s">
        <v>126</v>
      </c>
      <c r="K283" s="8">
        <v>45273</v>
      </c>
      <c r="L283" s="21">
        <v>1293</v>
      </c>
      <c r="M283" s="8"/>
      <c r="N283" s="21"/>
      <c r="O283" s="8"/>
      <c r="P283" s="21"/>
      <c r="Q283" s="8"/>
      <c r="R283" s="28"/>
    </row>
    <row r="284" spans="1:18">
      <c r="A284" s="1" t="s">
        <v>420</v>
      </c>
      <c r="B284" s="6" t="s">
        <v>32</v>
      </c>
      <c r="C284" s="7">
        <v>45446</v>
      </c>
      <c r="D284" s="25">
        <f t="shared" si="8"/>
        <v>6</v>
      </c>
      <c r="E284" s="25">
        <f t="shared" si="9"/>
        <v>2024</v>
      </c>
      <c r="F284" s="7" t="s">
        <v>81</v>
      </c>
      <c r="G284" s="4" t="s">
        <v>110</v>
      </c>
      <c r="H284" s="4" t="s">
        <v>124</v>
      </c>
      <c r="I284" s="9">
        <v>5598</v>
      </c>
      <c r="J284" s="9" t="s">
        <v>136</v>
      </c>
      <c r="K284" s="8">
        <v>45447</v>
      </c>
      <c r="L284" s="21">
        <v>1399.5</v>
      </c>
      <c r="M284" s="8">
        <v>45476</v>
      </c>
      <c r="N284" s="21">
        <v>1399.5</v>
      </c>
      <c r="O284" s="8">
        <v>45491</v>
      </c>
      <c r="P284" s="21">
        <v>1399.5</v>
      </c>
      <c r="Q284" s="8">
        <v>45506</v>
      </c>
      <c r="R284" s="28">
        <v>1399.5</v>
      </c>
    </row>
    <row r="285" spans="1:18">
      <c r="A285" s="1" t="s">
        <v>421</v>
      </c>
      <c r="B285" s="6" t="s">
        <v>15</v>
      </c>
      <c r="C285" s="7">
        <v>45151</v>
      </c>
      <c r="D285" s="25">
        <f t="shared" si="8"/>
        <v>8</v>
      </c>
      <c r="E285" s="25">
        <f t="shared" si="9"/>
        <v>2023</v>
      </c>
      <c r="F285" s="7" t="s">
        <v>64</v>
      </c>
      <c r="G285" s="4" t="s">
        <v>112</v>
      </c>
      <c r="H285" s="4" t="s">
        <v>123</v>
      </c>
      <c r="I285" s="9">
        <v>3434</v>
      </c>
      <c r="J285" s="9" t="s">
        <v>126</v>
      </c>
      <c r="K285" s="8">
        <v>45152</v>
      </c>
      <c r="L285" s="21">
        <v>3434</v>
      </c>
      <c r="M285" s="8"/>
      <c r="N285" s="21"/>
      <c r="O285" s="8"/>
      <c r="P285" s="21"/>
      <c r="Q285" s="8"/>
      <c r="R285" s="28"/>
    </row>
    <row r="286" spans="1:18">
      <c r="A286" s="1" t="s">
        <v>422</v>
      </c>
      <c r="B286" s="6" t="s">
        <v>18</v>
      </c>
      <c r="C286" s="7">
        <v>45166</v>
      </c>
      <c r="D286" s="25">
        <f t="shared" si="8"/>
        <v>8</v>
      </c>
      <c r="E286" s="25">
        <f t="shared" si="9"/>
        <v>2023</v>
      </c>
      <c r="F286" s="7" t="s">
        <v>67</v>
      </c>
      <c r="G286" s="4" t="s">
        <v>111</v>
      </c>
      <c r="H286" s="4" t="s">
        <v>121</v>
      </c>
      <c r="I286" s="9">
        <v>8864</v>
      </c>
      <c r="J286" s="9" t="s">
        <v>137</v>
      </c>
      <c r="K286" s="8">
        <v>45167</v>
      </c>
      <c r="L286" s="21">
        <v>2954.6666666666665</v>
      </c>
      <c r="M286" s="8">
        <v>45196</v>
      </c>
      <c r="N286" s="21">
        <v>2954.6666666666665</v>
      </c>
      <c r="O286" s="8">
        <v>45211</v>
      </c>
      <c r="P286" s="21">
        <v>2954.6666666666665</v>
      </c>
      <c r="Q286" s="8"/>
      <c r="R286" s="28"/>
    </row>
    <row r="287" spans="1:18">
      <c r="A287" s="1" t="s">
        <v>423</v>
      </c>
      <c r="B287" s="6" t="s">
        <v>41</v>
      </c>
      <c r="C287" s="7">
        <v>45135</v>
      </c>
      <c r="D287" s="25">
        <f t="shared" si="8"/>
        <v>7</v>
      </c>
      <c r="E287" s="25">
        <f t="shared" si="9"/>
        <v>2023</v>
      </c>
      <c r="F287" s="7" t="s">
        <v>90</v>
      </c>
      <c r="G287" s="4" t="s">
        <v>111</v>
      </c>
      <c r="H287" s="4" t="s">
        <v>118</v>
      </c>
      <c r="I287" s="9">
        <v>6331</v>
      </c>
      <c r="J287" s="9" t="s">
        <v>126</v>
      </c>
      <c r="K287" s="8">
        <v>45136</v>
      </c>
      <c r="L287" s="21">
        <v>6331</v>
      </c>
      <c r="M287" s="8"/>
      <c r="N287" s="21"/>
      <c r="O287" s="8"/>
      <c r="P287" s="21"/>
      <c r="Q287" s="8"/>
      <c r="R287" s="28"/>
    </row>
    <row r="288" spans="1:18">
      <c r="A288" s="1" t="s">
        <v>424</v>
      </c>
      <c r="B288" s="6" t="s">
        <v>12</v>
      </c>
      <c r="C288" s="7">
        <v>45175</v>
      </c>
      <c r="D288" s="25">
        <f t="shared" si="8"/>
        <v>9</v>
      </c>
      <c r="E288" s="25">
        <f t="shared" si="9"/>
        <v>2023</v>
      </c>
      <c r="F288" s="7" t="s">
        <v>62</v>
      </c>
      <c r="G288" s="4" t="s">
        <v>112</v>
      </c>
      <c r="H288" s="4" t="s">
        <v>122</v>
      </c>
      <c r="I288" s="9">
        <v>3309</v>
      </c>
      <c r="J288" s="9" t="s">
        <v>126</v>
      </c>
      <c r="K288" s="8">
        <v>45176</v>
      </c>
      <c r="L288" s="21">
        <v>3309</v>
      </c>
      <c r="M288" s="8"/>
      <c r="N288" s="21"/>
      <c r="O288" s="8"/>
      <c r="P288" s="21"/>
      <c r="Q288" s="8"/>
      <c r="R288" s="28"/>
    </row>
    <row r="289" spans="1:18">
      <c r="A289" s="1" t="s">
        <v>425</v>
      </c>
      <c r="B289" s="6" t="s">
        <v>56</v>
      </c>
      <c r="C289" s="7">
        <v>45117</v>
      </c>
      <c r="D289" s="25">
        <f t="shared" si="8"/>
        <v>7</v>
      </c>
      <c r="E289" s="25">
        <f t="shared" si="9"/>
        <v>2023</v>
      </c>
      <c r="F289" s="7" t="s">
        <v>105</v>
      </c>
      <c r="G289" s="4" t="s">
        <v>110</v>
      </c>
      <c r="H289" s="4" t="s">
        <v>113</v>
      </c>
      <c r="I289" s="9">
        <v>7742</v>
      </c>
      <c r="J289" s="9" t="s">
        <v>137</v>
      </c>
      <c r="K289" s="8">
        <v>45118</v>
      </c>
      <c r="L289" s="21">
        <v>2580.6666666666665</v>
      </c>
      <c r="M289" s="8">
        <v>45147</v>
      </c>
      <c r="N289" s="21">
        <v>2580.6666666666665</v>
      </c>
      <c r="O289" s="8">
        <v>45162</v>
      </c>
      <c r="P289" s="21">
        <v>2580.6666666666665</v>
      </c>
      <c r="Q289" s="8"/>
      <c r="R289" s="28"/>
    </row>
    <row r="290" spans="1:18">
      <c r="A290" s="1" t="s">
        <v>426</v>
      </c>
      <c r="B290" s="6" t="s">
        <v>56</v>
      </c>
      <c r="C290" s="7">
        <v>45051</v>
      </c>
      <c r="D290" s="25">
        <f t="shared" si="8"/>
        <v>5</v>
      </c>
      <c r="E290" s="25">
        <f t="shared" si="9"/>
        <v>2023</v>
      </c>
      <c r="F290" s="7" t="s">
        <v>105</v>
      </c>
      <c r="G290" s="4" t="s">
        <v>110</v>
      </c>
      <c r="H290" s="4" t="s">
        <v>113</v>
      </c>
      <c r="I290" s="9">
        <v>8698</v>
      </c>
      <c r="J290" s="9" t="s">
        <v>137</v>
      </c>
      <c r="K290" s="8">
        <v>45052</v>
      </c>
      <c r="L290" s="21">
        <v>2899.3333333333335</v>
      </c>
      <c r="M290" s="8">
        <v>45081</v>
      </c>
      <c r="N290" s="21">
        <v>2899.3333333333335</v>
      </c>
      <c r="O290" s="8">
        <v>45096</v>
      </c>
      <c r="P290" s="21">
        <v>2899.3333333333335</v>
      </c>
      <c r="Q290" s="8"/>
      <c r="R290" s="28"/>
    </row>
    <row r="291" spans="1:18">
      <c r="A291" s="1" t="s">
        <v>427</v>
      </c>
      <c r="B291" s="6" t="s">
        <v>58</v>
      </c>
      <c r="C291" s="7">
        <v>45153</v>
      </c>
      <c r="D291" s="25">
        <f t="shared" si="8"/>
        <v>8</v>
      </c>
      <c r="E291" s="25">
        <f t="shared" si="9"/>
        <v>2023</v>
      </c>
      <c r="F291" s="7" t="s">
        <v>107</v>
      </c>
      <c r="G291" s="4" t="s">
        <v>111</v>
      </c>
      <c r="H291" s="4" t="s">
        <v>120</v>
      </c>
      <c r="I291" s="9">
        <v>1002</v>
      </c>
      <c r="J291" s="9" t="s">
        <v>137</v>
      </c>
      <c r="K291" s="8">
        <v>45154</v>
      </c>
      <c r="L291" s="21">
        <v>334</v>
      </c>
      <c r="M291" s="8">
        <v>45183</v>
      </c>
      <c r="N291" s="21">
        <v>334</v>
      </c>
      <c r="O291" s="8">
        <v>45198</v>
      </c>
      <c r="P291" s="21">
        <v>334</v>
      </c>
      <c r="Q291" s="8"/>
      <c r="R291" s="28"/>
    </row>
    <row r="292" spans="1:18">
      <c r="A292" s="1" t="s">
        <v>428</v>
      </c>
      <c r="B292" s="6" t="s">
        <v>29</v>
      </c>
      <c r="C292" s="7">
        <v>45355</v>
      </c>
      <c r="D292" s="25">
        <f t="shared" si="8"/>
        <v>3</v>
      </c>
      <c r="E292" s="25">
        <f t="shared" si="9"/>
        <v>2024</v>
      </c>
      <c r="F292" s="7" t="s">
        <v>78</v>
      </c>
      <c r="G292" s="4" t="s">
        <v>111</v>
      </c>
      <c r="H292" s="4" t="s">
        <v>121</v>
      </c>
      <c r="I292" s="9">
        <v>5390</v>
      </c>
      <c r="J292" s="9" t="s">
        <v>126</v>
      </c>
      <c r="K292" s="8">
        <v>45356</v>
      </c>
      <c r="L292" s="21">
        <v>5390</v>
      </c>
      <c r="M292" s="8"/>
      <c r="N292" s="21"/>
      <c r="O292" s="8"/>
      <c r="P292" s="21"/>
      <c r="Q292" s="8"/>
      <c r="R292" s="28"/>
    </row>
    <row r="293" spans="1:18">
      <c r="A293" s="1" t="s">
        <v>429</v>
      </c>
      <c r="B293" s="6" t="s">
        <v>59</v>
      </c>
      <c r="C293" s="7">
        <v>45158</v>
      </c>
      <c r="D293" s="25">
        <f t="shared" si="8"/>
        <v>8</v>
      </c>
      <c r="E293" s="25">
        <f t="shared" si="9"/>
        <v>2023</v>
      </c>
      <c r="F293" s="7" t="s">
        <v>108</v>
      </c>
      <c r="G293" s="4" t="s">
        <v>111</v>
      </c>
      <c r="H293" s="4" t="s">
        <v>121</v>
      </c>
      <c r="I293" s="9">
        <v>8316</v>
      </c>
      <c r="J293" s="9" t="s">
        <v>138</v>
      </c>
      <c r="K293" s="8">
        <v>45159</v>
      </c>
      <c r="L293" s="21">
        <v>4158</v>
      </c>
      <c r="M293" s="8">
        <v>45188</v>
      </c>
      <c r="N293" s="21">
        <v>4158</v>
      </c>
      <c r="O293" s="8"/>
      <c r="P293" s="21"/>
      <c r="Q293" s="8"/>
      <c r="R293" s="28"/>
    </row>
    <row r="294" spans="1:18">
      <c r="A294" s="1" t="s">
        <v>430</v>
      </c>
      <c r="B294" s="6" t="s">
        <v>15</v>
      </c>
      <c r="C294" s="7">
        <v>45207</v>
      </c>
      <c r="D294" s="25">
        <f t="shared" si="8"/>
        <v>10</v>
      </c>
      <c r="E294" s="25">
        <f t="shared" si="9"/>
        <v>2023</v>
      </c>
      <c r="F294" s="7" t="s">
        <v>64</v>
      </c>
      <c r="G294" s="4" t="s">
        <v>112</v>
      </c>
      <c r="H294" s="4" t="s">
        <v>123</v>
      </c>
      <c r="I294" s="9">
        <v>3139</v>
      </c>
      <c r="J294" s="9" t="s">
        <v>126</v>
      </c>
      <c r="K294" s="8">
        <v>45208</v>
      </c>
      <c r="L294" s="21">
        <v>3139</v>
      </c>
      <c r="M294" s="8"/>
      <c r="N294" s="21"/>
      <c r="O294" s="8"/>
      <c r="P294" s="21"/>
      <c r="Q294" s="8"/>
      <c r="R294" s="28"/>
    </row>
    <row r="295" spans="1:18">
      <c r="A295" s="1" t="s">
        <v>431</v>
      </c>
      <c r="B295" s="6" t="s">
        <v>14</v>
      </c>
      <c r="C295" s="7">
        <v>45274</v>
      </c>
      <c r="D295" s="25">
        <f t="shared" si="8"/>
        <v>12</v>
      </c>
      <c r="E295" s="25">
        <f t="shared" si="9"/>
        <v>2023</v>
      </c>
      <c r="F295" s="7" t="s">
        <v>61</v>
      </c>
      <c r="G295" s="4" t="s">
        <v>110</v>
      </c>
      <c r="H295" s="4" t="s">
        <v>113</v>
      </c>
      <c r="I295" s="9">
        <v>2373</v>
      </c>
      <c r="J295" s="9" t="s">
        <v>126</v>
      </c>
      <c r="K295" s="8">
        <v>45275</v>
      </c>
      <c r="L295" s="21">
        <v>2373</v>
      </c>
      <c r="M295" s="8"/>
      <c r="N295" s="21"/>
      <c r="O295" s="8"/>
      <c r="P295" s="21"/>
      <c r="Q295" s="8"/>
      <c r="R295" s="28"/>
    </row>
    <row r="296" spans="1:18">
      <c r="A296" s="1" t="s">
        <v>432</v>
      </c>
      <c r="B296" s="6" t="s">
        <v>28</v>
      </c>
      <c r="C296" s="7">
        <v>45114</v>
      </c>
      <c r="D296" s="25">
        <f t="shared" si="8"/>
        <v>7</v>
      </c>
      <c r="E296" s="25">
        <f t="shared" si="9"/>
        <v>2023</v>
      </c>
      <c r="F296" s="7" t="s">
        <v>77</v>
      </c>
      <c r="G296" s="4" t="s">
        <v>110</v>
      </c>
      <c r="H296" s="4" t="s">
        <v>114</v>
      </c>
      <c r="I296" s="9">
        <v>465</v>
      </c>
      <c r="J296" s="9" t="s">
        <v>136</v>
      </c>
      <c r="K296" s="8">
        <v>45115</v>
      </c>
      <c r="L296" s="21">
        <v>116.25</v>
      </c>
      <c r="M296" s="8">
        <v>45144</v>
      </c>
      <c r="N296" s="21">
        <v>116.25</v>
      </c>
      <c r="O296" s="8">
        <v>45159</v>
      </c>
      <c r="P296" s="21">
        <v>116.25</v>
      </c>
      <c r="Q296" s="8">
        <v>45174</v>
      </c>
      <c r="R296" s="28">
        <v>116.25</v>
      </c>
    </row>
    <row r="297" spans="1:18">
      <c r="A297" s="1" t="s">
        <v>433</v>
      </c>
      <c r="B297" s="6" t="s">
        <v>25</v>
      </c>
      <c r="C297" s="7">
        <v>45347</v>
      </c>
      <c r="D297" s="25">
        <f t="shared" si="8"/>
        <v>2</v>
      </c>
      <c r="E297" s="25">
        <f t="shared" si="9"/>
        <v>2024</v>
      </c>
      <c r="F297" s="7" t="s">
        <v>74</v>
      </c>
      <c r="G297" s="4" t="s">
        <v>111</v>
      </c>
      <c r="H297" s="4" t="s">
        <v>120</v>
      </c>
      <c r="I297" s="9">
        <v>3828</v>
      </c>
      <c r="J297" s="9" t="s">
        <v>136</v>
      </c>
      <c r="K297" s="8">
        <v>45348</v>
      </c>
      <c r="L297" s="21">
        <v>957</v>
      </c>
      <c r="M297" s="8">
        <v>45377</v>
      </c>
      <c r="N297" s="21">
        <v>957</v>
      </c>
      <c r="O297" s="8">
        <v>45392</v>
      </c>
      <c r="P297" s="21">
        <v>957</v>
      </c>
      <c r="Q297" s="8">
        <v>45407</v>
      </c>
      <c r="R297" s="28">
        <v>957</v>
      </c>
    </row>
    <row r="298" spans="1:18">
      <c r="A298" s="1" t="s">
        <v>434</v>
      </c>
      <c r="B298" s="6" t="s">
        <v>47</v>
      </c>
      <c r="C298" s="7">
        <v>45337</v>
      </c>
      <c r="D298" s="25">
        <f t="shared" si="8"/>
        <v>2</v>
      </c>
      <c r="E298" s="25">
        <f t="shared" si="9"/>
        <v>2024</v>
      </c>
      <c r="F298" s="7" t="s">
        <v>96</v>
      </c>
      <c r="G298" s="4" t="s">
        <v>111</v>
      </c>
      <c r="H298" s="4" t="s">
        <v>120</v>
      </c>
      <c r="I298" s="9">
        <v>3075</v>
      </c>
      <c r="J298" s="9" t="s">
        <v>126</v>
      </c>
      <c r="K298" s="8">
        <v>45338</v>
      </c>
      <c r="L298" s="21">
        <v>3075</v>
      </c>
      <c r="M298" s="8"/>
      <c r="N298" s="21"/>
      <c r="O298" s="8"/>
      <c r="P298" s="21"/>
      <c r="Q298" s="8"/>
      <c r="R298" s="28"/>
    </row>
    <row r="299" spans="1:18">
      <c r="A299" s="1" t="s">
        <v>435</v>
      </c>
      <c r="B299" s="6" t="s">
        <v>35</v>
      </c>
      <c r="C299" s="7">
        <v>45465</v>
      </c>
      <c r="D299" s="25">
        <f t="shared" si="8"/>
        <v>6</v>
      </c>
      <c r="E299" s="25">
        <f t="shared" si="9"/>
        <v>2024</v>
      </c>
      <c r="F299" s="7" t="s">
        <v>84</v>
      </c>
      <c r="G299" s="4" t="s">
        <v>112</v>
      </c>
      <c r="H299" s="4" t="s">
        <v>122</v>
      </c>
      <c r="I299" s="9">
        <v>9709</v>
      </c>
      <c r="J299" s="9" t="s">
        <v>126</v>
      </c>
      <c r="K299" s="8">
        <v>45466</v>
      </c>
      <c r="L299" s="21">
        <v>9709</v>
      </c>
      <c r="M299" s="8"/>
      <c r="N299" s="21"/>
      <c r="O299" s="8"/>
      <c r="P299" s="21"/>
      <c r="Q299" s="8"/>
      <c r="R299" s="28"/>
    </row>
    <row r="300" spans="1:18">
      <c r="A300" s="1" t="s">
        <v>436</v>
      </c>
      <c r="B300" s="6" t="s">
        <v>58</v>
      </c>
      <c r="C300" s="7">
        <v>45142</v>
      </c>
      <c r="D300" s="25">
        <f t="shared" si="8"/>
        <v>8</v>
      </c>
      <c r="E300" s="25">
        <f t="shared" si="9"/>
        <v>2023</v>
      </c>
      <c r="F300" s="7" t="s">
        <v>107</v>
      </c>
      <c r="G300" s="4" t="s">
        <v>111</v>
      </c>
      <c r="H300" s="4" t="s">
        <v>120</v>
      </c>
      <c r="I300" s="9">
        <v>6635</v>
      </c>
      <c r="J300" s="9" t="s">
        <v>136</v>
      </c>
      <c r="K300" s="8">
        <v>45143</v>
      </c>
      <c r="L300" s="21">
        <v>1658.75</v>
      </c>
      <c r="M300" s="8">
        <v>45172</v>
      </c>
      <c r="N300" s="21">
        <v>1658.75</v>
      </c>
      <c r="O300" s="8">
        <v>45187</v>
      </c>
      <c r="P300" s="21">
        <v>1658.75</v>
      </c>
      <c r="Q300" s="8">
        <v>45202</v>
      </c>
      <c r="R300" s="28">
        <v>1658.75</v>
      </c>
    </row>
    <row r="301" spans="1:18">
      <c r="A301" s="1" t="s">
        <v>437</v>
      </c>
      <c r="B301" s="6" t="s">
        <v>17</v>
      </c>
      <c r="C301" s="7">
        <v>45204</v>
      </c>
      <c r="D301" s="25">
        <f t="shared" si="8"/>
        <v>10</v>
      </c>
      <c r="E301" s="25">
        <f t="shared" si="9"/>
        <v>2023</v>
      </c>
      <c r="F301" s="7" t="s">
        <v>66</v>
      </c>
      <c r="G301" s="4" t="s">
        <v>110</v>
      </c>
      <c r="H301" s="4" t="s">
        <v>114</v>
      </c>
      <c r="I301" s="9">
        <v>3765</v>
      </c>
      <c r="J301" s="9" t="s">
        <v>137</v>
      </c>
      <c r="K301" s="8">
        <v>45205</v>
      </c>
      <c r="L301" s="21">
        <v>1255</v>
      </c>
      <c r="M301" s="8">
        <v>45234</v>
      </c>
      <c r="N301" s="21">
        <v>1255</v>
      </c>
      <c r="O301" s="8">
        <v>45249</v>
      </c>
      <c r="P301" s="21">
        <v>1255</v>
      </c>
      <c r="Q301" s="8"/>
      <c r="R301" s="28"/>
    </row>
    <row r="302" spans="1:18">
      <c r="A302" s="1" t="s">
        <v>438</v>
      </c>
      <c r="B302" s="6" t="s">
        <v>31</v>
      </c>
      <c r="C302" s="7">
        <v>45339</v>
      </c>
      <c r="D302" s="25">
        <f t="shared" si="8"/>
        <v>2</v>
      </c>
      <c r="E302" s="25">
        <f t="shared" si="9"/>
        <v>2024</v>
      </c>
      <c r="F302" s="7" t="s">
        <v>80</v>
      </c>
      <c r="G302" s="4" t="s">
        <v>111</v>
      </c>
      <c r="H302" s="4" t="s">
        <v>117</v>
      </c>
      <c r="I302" s="9">
        <v>4503</v>
      </c>
      <c r="J302" s="9" t="s">
        <v>126</v>
      </c>
      <c r="K302" s="8">
        <v>45340</v>
      </c>
      <c r="L302" s="21">
        <v>4503</v>
      </c>
      <c r="M302" s="8"/>
      <c r="N302" s="21"/>
      <c r="O302" s="8"/>
      <c r="P302" s="21"/>
      <c r="Q302" s="8"/>
      <c r="R302" s="28"/>
    </row>
    <row r="303" spans="1:18">
      <c r="A303" s="1" t="s">
        <v>439</v>
      </c>
      <c r="B303" s="6" t="s">
        <v>55</v>
      </c>
      <c r="C303" s="7">
        <v>45448</v>
      </c>
      <c r="D303" s="25">
        <f t="shared" si="8"/>
        <v>6</v>
      </c>
      <c r="E303" s="25">
        <f t="shared" si="9"/>
        <v>2024</v>
      </c>
      <c r="F303" s="7" t="s">
        <v>104</v>
      </c>
      <c r="G303" s="4" t="s">
        <v>111</v>
      </c>
      <c r="H303" s="4" t="s">
        <v>119</v>
      </c>
      <c r="I303" s="9">
        <v>9392</v>
      </c>
      <c r="J303" s="9" t="s">
        <v>138</v>
      </c>
      <c r="K303" s="8">
        <v>45449</v>
      </c>
      <c r="L303" s="21">
        <v>4696</v>
      </c>
      <c r="M303" s="8">
        <v>45478</v>
      </c>
      <c r="N303" s="21">
        <v>4696</v>
      </c>
      <c r="O303" s="8"/>
      <c r="P303" s="21"/>
      <c r="Q303" s="8"/>
      <c r="R303" s="28"/>
    </row>
    <row r="304" spans="1:18">
      <c r="A304" s="1" t="s">
        <v>440</v>
      </c>
      <c r="B304" s="6" t="s">
        <v>53</v>
      </c>
      <c r="C304" s="7">
        <v>45425</v>
      </c>
      <c r="D304" s="25">
        <f t="shared" si="8"/>
        <v>5</v>
      </c>
      <c r="E304" s="25">
        <f t="shared" si="9"/>
        <v>2024</v>
      </c>
      <c r="F304" s="7" t="s">
        <v>102</v>
      </c>
      <c r="G304" s="4" t="s">
        <v>111</v>
      </c>
      <c r="H304" s="4" t="s">
        <v>117</v>
      </c>
      <c r="I304" s="9">
        <v>9896</v>
      </c>
      <c r="J304" s="9" t="s">
        <v>126</v>
      </c>
      <c r="K304" s="8">
        <v>45426</v>
      </c>
      <c r="L304" s="21">
        <v>9896</v>
      </c>
      <c r="M304" s="8"/>
      <c r="N304" s="21"/>
      <c r="O304" s="8"/>
      <c r="P304" s="21"/>
      <c r="Q304" s="8"/>
      <c r="R304" s="28"/>
    </row>
    <row r="305" spans="1:18">
      <c r="A305" s="1" t="s">
        <v>441</v>
      </c>
      <c r="B305" s="6" t="s">
        <v>60</v>
      </c>
      <c r="C305" s="7">
        <v>45394</v>
      </c>
      <c r="D305" s="25">
        <f t="shared" si="8"/>
        <v>4</v>
      </c>
      <c r="E305" s="25">
        <f t="shared" si="9"/>
        <v>2024</v>
      </c>
      <c r="F305" s="7" t="s">
        <v>109</v>
      </c>
      <c r="G305" s="4" t="s">
        <v>111</v>
      </c>
      <c r="H305" s="4" t="s">
        <v>118</v>
      </c>
      <c r="I305" s="9">
        <v>1414</v>
      </c>
      <c r="J305" s="9" t="s">
        <v>126</v>
      </c>
      <c r="K305" s="8">
        <v>45395</v>
      </c>
      <c r="L305" s="21">
        <v>1414</v>
      </c>
      <c r="M305" s="8"/>
      <c r="N305" s="21"/>
      <c r="O305" s="8"/>
      <c r="P305" s="21"/>
      <c r="Q305" s="8"/>
      <c r="R305" s="28"/>
    </row>
    <row r="306" spans="1:18">
      <c r="A306" s="1" t="s">
        <v>442</v>
      </c>
      <c r="B306" s="6" t="s">
        <v>40</v>
      </c>
      <c r="C306" s="7">
        <v>45427</v>
      </c>
      <c r="D306" s="25">
        <f t="shared" si="8"/>
        <v>5</v>
      </c>
      <c r="E306" s="25">
        <f t="shared" si="9"/>
        <v>2024</v>
      </c>
      <c r="F306" s="7" t="s">
        <v>89</v>
      </c>
      <c r="G306" s="4" t="s">
        <v>111</v>
      </c>
      <c r="H306" s="4" t="s">
        <v>121</v>
      </c>
      <c r="I306" s="9">
        <v>588</v>
      </c>
      <c r="J306" s="9" t="s">
        <v>138</v>
      </c>
      <c r="K306" s="8">
        <v>45428</v>
      </c>
      <c r="L306" s="21">
        <v>294</v>
      </c>
      <c r="M306" s="8">
        <v>45457</v>
      </c>
      <c r="N306" s="21">
        <v>294</v>
      </c>
      <c r="O306" s="8"/>
      <c r="P306" s="21"/>
      <c r="Q306" s="8"/>
      <c r="R306" s="28"/>
    </row>
    <row r="307" spans="1:18">
      <c r="A307" s="1" t="s">
        <v>443</v>
      </c>
      <c r="B307" s="6" t="s">
        <v>17</v>
      </c>
      <c r="C307" s="7">
        <v>45370</v>
      </c>
      <c r="D307" s="25">
        <f t="shared" si="8"/>
        <v>3</v>
      </c>
      <c r="E307" s="25">
        <f t="shared" si="9"/>
        <v>2024</v>
      </c>
      <c r="F307" s="7" t="s">
        <v>66</v>
      </c>
      <c r="G307" s="4" t="s">
        <v>110</v>
      </c>
      <c r="H307" s="4" t="s">
        <v>114</v>
      </c>
      <c r="I307" s="9">
        <v>1196</v>
      </c>
      <c r="J307" s="9" t="s">
        <v>138</v>
      </c>
      <c r="K307" s="8">
        <v>45371</v>
      </c>
      <c r="L307" s="21">
        <v>598</v>
      </c>
      <c r="M307" s="8">
        <v>45400</v>
      </c>
      <c r="N307" s="21">
        <v>598</v>
      </c>
      <c r="O307" s="8"/>
      <c r="P307" s="21"/>
      <c r="Q307" s="8"/>
      <c r="R307" s="28"/>
    </row>
    <row r="308" spans="1:18">
      <c r="A308" s="1" t="s">
        <v>444</v>
      </c>
      <c r="B308" s="6" t="s">
        <v>20</v>
      </c>
      <c r="C308" s="7">
        <v>45041</v>
      </c>
      <c r="D308" s="25">
        <f t="shared" si="8"/>
        <v>4</v>
      </c>
      <c r="E308" s="25">
        <f t="shared" si="9"/>
        <v>2023</v>
      </c>
      <c r="F308" s="7" t="s">
        <v>69</v>
      </c>
      <c r="G308" s="4" t="s">
        <v>111</v>
      </c>
      <c r="H308" s="4" t="s">
        <v>117</v>
      </c>
      <c r="I308" s="9">
        <v>3763</v>
      </c>
      <c r="J308" s="9" t="s">
        <v>138</v>
      </c>
      <c r="K308" s="8">
        <v>45042</v>
      </c>
      <c r="L308" s="21">
        <v>1881.5</v>
      </c>
      <c r="M308" s="8">
        <v>45071</v>
      </c>
      <c r="N308" s="21">
        <v>1881.5</v>
      </c>
      <c r="O308" s="8"/>
      <c r="P308" s="21"/>
      <c r="Q308" s="8"/>
      <c r="R308" s="28"/>
    </row>
    <row r="309" spans="1:18">
      <c r="A309" s="1" t="s">
        <v>445</v>
      </c>
      <c r="B309" s="6" t="s">
        <v>23</v>
      </c>
      <c r="C309" s="7">
        <v>45218</v>
      </c>
      <c r="D309" s="25">
        <f t="shared" si="8"/>
        <v>10</v>
      </c>
      <c r="E309" s="25">
        <f t="shared" si="9"/>
        <v>2023</v>
      </c>
      <c r="F309" s="7" t="s">
        <v>72</v>
      </c>
      <c r="G309" s="4" t="s">
        <v>110</v>
      </c>
      <c r="H309" s="4" t="s">
        <v>113</v>
      </c>
      <c r="I309" s="9">
        <v>3158</v>
      </c>
      <c r="J309" s="9" t="s">
        <v>136</v>
      </c>
      <c r="K309" s="8">
        <v>45219</v>
      </c>
      <c r="L309" s="21">
        <v>789.5</v>
      </c>
      <c r="M309" s="8">
        <v>45248</v>
      </c>
      <c r="N309" s="21">
        <v>789.5</v>
      </c>
      <c r="O309" s="8">
        <v>45263</v>
      </c>
      <c r="P309" s="21">
        <v>789.5</v>
      </c>
      <c r="Q309" s="8">
        <v>45278</v>
      </c>
      <c r="R309" s="28">
        <v>789.5</v>
      </c>
    </row>
    <row r="310" spans="1:18">
      <c r="A310" s="1" t="s">
        <v>446</v>
      </c>
      <c r="B310" s="6" t="s">
        <v>45</v>
      </c>
      <c r="C310" s="7">
        <v>45333</v>
      </c>
      <c r="D310" s="25">
        <f t="shared" si="8"/>
        <v>2</v>
      </c>
      <c r="E310" s="25">
        <f t="shared" si="9"/>
        <v>2024</v>
      </c>
      <c r="F310" s="7" t="s">
        <v>94</v>
      </c>
      <c r="G310" s="4" t="s">
        <v>110</v>
      </c>
      <c r="H310" s="4" t="s">
        <v>113</v>
      </c>
      <c r="I310" s="9">
        <v>805</v>
      </c>
      <c r="J310" s="9" t="s">
        <v>137</v>
      </c>
      <c r="K310" s="8">
        <v>45334</v>
      </c>
      <c r="L310" s="21">
        <v>268.33333333333331</v>
      </c>
      <c r="M310" s="8">
        <v>45363</v>
      </c>
      <c r="N310" s="21">
        <v>268.33333333333331</v>
      </c>
      <c r="O310" s="8">
        <v>45378</v>
      </c>
      <c r="P310" s="21">
        <v>268.33333333333331</v>
      </c>
      <c r="Q310" s="8"/>
      <c r="R310" s="28"/>
    </row>
    <row r="311" spans="1:18">
      <c r="A311" s="1" t="s">
        <v>447</v>
      </c>
      <c r="B311" s="6" t="s">
        <v>19</v>
      </c>
      <c r="C311" s="7">
        <v>45444</v>
      </c>
      <c r="D311" s="25">
        <f t="shared" si="8"/>
        <v>6</v>
      </c>
      <c r="E311" s="25">
        <f t="shared" si="9"/>
        <v>2024</v>
      </c>
      <c r="F311" s="7" t="s">
        <v>68</v>
      </c>
      <c r="G311" s="4" t="s">
        <v>111</v>
      </c>
      <c r="H311" s="4" t="s">
        <v>118</v>
      </c>
      <c r="I311" s="9">
        <v>6988</v>
      </c>
      <c r="J311" s="9" t="s">
        <v>138</v>
      </c>
      <c r="K311" s="8">
        <v>45445</v>
      </c>
      <c r="L311" s="21">
        <v>3494</v>
      </c>
      <c r="M311" s="8">
        <v>45474</v>
      </c>
      <c r="N311" s="21">
        <v>3494</v>
      </c>
      <c r="O311" s="8"/>
      <c r="P311" s="21"/>
      <c r="Q311" s="8"/>
      <c r="R311" s="28"/>
    </row>
    <row r="312" spans="1:18">
      <c r="A312" s="1" t="s">
        <v>448</v>
      </c>
      <c r="B312" s="6" t="s">
        <v>59</v>
      </c>
      <c r="C312" s="7">
        <v>45188</v>
      </c>
      <c r="D312" s="25">
        <f t="shared" si="8"/>
        <v>9</v>
      </c>
      <c r="E312" s="25">
        <f t="shared" si="9"/>
        <v>2023</v>
      </c>
      <c r="F312" s="7" t="s">
        <v>108</v>
      </c>
      <c r="G312" s="4" t="s">
        <v>111</v>
      </c>
      <c r="H312" s="4" t="s">
        <v>121</v>
      </c>
      <c r="I312" s="9">
        <v>826</v>
      </c>
      <c r="J312" s="9" t="s">
        <v>137</v>
      </c>
      <c r="K312" s="8">
        <v>45189</v>
      </c>
      <c r="L312" s="21">
        <v>275.33333333333331</v>
      </c>
      <c r="M312" s="8">
        <v>45218</v>
      </c>
      <c r="N312" s="21">
        <v>275.33333333333331</v>
      </c>
      <c r="O312" s="8">
        <v>45233</v>
      </c>
      <c r="P312" s="21">
        <v>275.33333333333331</v>
      </c>
      <c r="Q312" s="8"/>
      <c r="R312" s="28"/>
    </row>
    <row r="313" spans="1:18">
      <c r="A313" s="1" t="s">
        <v>449</v>
      </c>
      <c r="B313" s="6" t="s">
        <v>23</v>
      </c>
      <c r="C313" s="7">
        <v>45410</v>
      </c>
      <c r="D313" s="25">
        <f t="shared" si="8"/>
        <v>4</v>
      </c>
      <c r="E313" s="25">
        <f t="shared" si="9"/>
        <v>2024</v>
      </c>
      <c r="F313" s="7" t="s">
        <v>72</v>
      </c>
      <c r="G313" s="4" t="s">
        <v>110</v>
      </c>
      <c r="H313" s="4" t="s">
        <v>113</v>
      </c>
      <c r="I313" s="9">
        <v>9423</v>
      </c>
      <c r="J313" s="9" t="s">
        <v>138</v>
      </c>
      <c r="K313" s="8">
        <v>45411</v>
      </c>
      <c r="L313" s="21">
        <v>4711.5</v>
      </c>
      <c r="M313" s="8">
        <v>45440</v>
      </c>
      <c r="N313" s="21">
        <v>4711.5</v>
      </c>
      <c r="O313" s="8"/>
      <c r="P313" s="21"/>
      <c r="Q313" s="8"/>
      <c r="R313" s="28"/>
    </row>
    <row r="314" spans="1:18">
      <c r="A314" s="1" t="s">
        <v>450</v>
      </c>
      <c r="B314" s="6" t="s">
        <v>27</v>
      </c>
      <c r="C314" s="7">
        <v>45543</v>
      </c>
      <c r="D314" s="25">
        <f t="shared" si="8"/>
        <v>9</v>
      </c>
      <c r="E314" s="25">
        <f t="shared" si="9"/>
        <v>2024</v>
      </c>
      <c r="F314" s="7" t="s">
        <v>76</v>
      </c>
      <c r="G314" s="4" t="s">
        <v>110</v>
      </c>
      <c r="H314" s="4" t="s">
        <v>125</v>
      </c>
      <c r="I314" s="9">
        <v>568</v>
      </c>
      <c r="J314" s="9" t="s">
        <v>137</v>
      </c>
      <c r="K314" s="8">
        <v>45544</v>
      </c>
      <c r="L314" s="21">
        <v>189.33333333333334</v>
      </c>
      <c r="M314" s="8">
        <v>45573</v>
      </c>
      <c r="N314" s="21">
        <v>189.33333333333334</v>
      </c>
      <c r="O314" s="8">
        <v>45588</v>
      </c>
      <c r="P314" s="21">
        <v>189.33333333333334</v>
      </c>
      <c r="Q314" s="8"/>
      <c r="R314" s="28"/>
    </row>
    <row r="315" spans="1:18">
      <c r="A315" s="1" t="s">
        <v>451</v>
      </c>
      <c r="B315" s="6" t="s">
        <v>15</v>
      </c>
      <c r="C315" s="7">
        <v>45329</v>
      </c>
      <c r="D315" s="25">
        <f t="shared" si="8"/>
        <v>2</v>
      </c>
      <c r="E315" s="25">
        <f t="shared" si="9"/>
        <v>2024</v>
      </c>
      <c r="F315" s="7" t="s">
        <v>64</v>
      </c>
      <c r="G315" s="4" t="s">
        <v>112</v>
      </c>
      <c r="H315" s="4" t="s">
        <v>123</v>
      </c>
      <c r="I315" s="9">
        <v>684</v>
      </c>
      <c r="J315" s="9" t="s">
        <v>126</v>
      </c>
      <c r="K315" s="8">
        <v>45330</v>
      </c>
      <c r="L315" s="21">
        <v>684</v>
      </c>
      <c r="M315" s="8"/>
      <c r="N315" s="21"/>
      <c r="O315" s="8"/>
      <c r="P315" s="21"/>
      <c r="Q315" s="8"/>
      <c r="R315" s="28"/>
    </row>
    <row r="316" spans="1:18">
      <c r="A316" s="1" t="s">
        <v>452</v>
      </c>
      <c r="B316" s="6" t="s">
        <v>39</v>
      </c>
      <c r="C316" s="7">
        <v>45504</v>
      </c>
      <c r="D316" s="25">
        <f t="shared" si="8"/>
        <v>7</v>
      </c>
      <c r="E316" s="25">
        <f t="shared" si="9"/>
        <v>2024</v>
      </c>
      <c r="F316" s="7" t="s">
        <v>88</v>
      </c>
      <c r="G316" s="4" t="s">
        <v>110</v>
      </c>
      <c r="H316" s="4" t="s">
        <v>114</v>
      </c>
      <c r="I316" s="9">
        <v>7836</v>
      </c>
      <c r="J316" s="9" t="s">
        <v>126</v>
      </c>
      <c r="K316" s="8">
        <v>45505</v>
      </c>
      <c r="L316" s="21">
        <v>7836</v>
      </c>
      <c r="M316" s="8"/>
      <c r="N316" s="21"/>
      <c r="O316" s="8"/>
      <c r="P316" s="21"/>
      <c r="Q316" s="8"/>
      <c r="R316" s="28"/>
    </row>
    <row r="317" spans="1:18">
      <c r="A317" s="1" t="s">
        <v>453</v>
      </c>
      <c r="B317" s="6" t="s">
        <v>16</v>
      </c>
      <c r="C317" s="7">
        <v>45460</v>
      </c>
      <c r="D317" s="25">
        <f t="shared" si="8"/>
        <v>6</v>
      </c>
      <c r="E317" s="25">
        <f t="shared" si="9"/>
        <v>2024</v>
      </c>
      <c r="F317" s="7" t="s">
        <v>65</v>
      </c>
      <c r="G317" s="4" t="s">
        <v>110</v>
      </c>
      <c r="H317" s="4" t="s">
        <v>125</v>
      </c>
      <c r="I317" s="9">
        <v>2027</v>
      </c>
      <c r="J317" s="9" t="s">
        <v>126</v>
      </c>
      <c r="K317" s="8">
        <v>45461</v>
      </c>
      <c r="L317" s="21">
        <v>2027</v>
      </c>
      <c r="M317" s="8"/>
      <c r="N317" s="21"/>
      <c r="O317" s="8"/>
      <c r="P317" s="21"/>
      <c r="Q317" s="8"/>
      <c r="R317" s="28"/>
    </row>
    <row r="318" spans="1:18">
      <c r="A318" s="1" t="s">
        <v>454</v>
      </c>
      <c r="B318" s="6" t="s">
        <v>57</v>
      </c>
      <c r="C318" s="7">
        <v>45421</v>
      </c>
      <c r="D318" s="25">
        <f t="shared" si="8"/>
        <v>5</v>
      </c>
      <c r="E318" s="25">
        <f t="shared" si="9"/>
        <v>2024</v>
      </c>
      <c r="F318" s="7" t="s">
        <v>106</v>
      </c>
      <c r="G318" s="4" t="s">
        <v>112</v>
      </c>
      <c r="H318" s="4" t="s">
        <v>122</v>
      </c>
      <c r="I318" s="9">
        <v>6089</v>
      </c>
      <c r="J318" s="9" t="s">
        <v>126</v>
      </c>
      <c r="K318" s="8">
        <v>45422</v>
      </c>
      <c r="L318" s="21">
        <v>6089</v>
      </c>
      <c r="M318" s="8"/>
      <c r="N318" s="21"/>
      <c r="O318" s="8"/>
      <c r="P318" s="21"/>
      <c r="Q318" s="8"/>
      <c r="R318" s="28"/>
    </row>
    <row r="319" spans="1:18">
      <c r="A319" s="1" t="s">
        <v>455</v>
      </c>
      <c r="B319" s="6" t="s">
        <v>31</v>
      </c>
      <c r="C319" s="7">
        <v>45340</v>
      </c>
      <c r="D319" s="25">
        <f t="shared" si="8"/>
        <v>2</v>
      </c>
      <c r="E319" s="25">
        <f t="shared" si="9"/>
        <v>2024</v>
      </c>
      <c r="F319" s="7" t="s">
        <v>80</v>
      </c>
      <c r="G319" s="4" t="s">
        <v>111</v>
      </c>
      <c r="H319" s="4" t="s">
        <v>117</v>
      </c>
      <c r="I319" s="9">
        <v>3771</v>
      </c>
      <c r="J319" s="9" t="s">
        <v>136</v>
      </c>
      <c r="K319" s="8">
        <v>45341</v>
      </c>
      <c r="L319" s="21">
        <v>942.75</v>
      </c>
      <c r="M319" s="8">
        <v>45370</v>
      </c>
      <c r="N319" s="21">
        <v>942.75</v>
      </c>
      <c r="O319" s="8">
        <v>45385</v>
      </c>
      <c r="P319" s="21">
        <v>942.75</v>
      </c>
      <c r="Q319" s="8">
        <v>45400</v>
      </c>
      <c r="R319" s="28">
        <v>942.75</v>
      </c>
    </row>
    <row r="320" spans="1:18">
      <c r="A320" s="1" t="s">
        <v>456</v>
      </c>
      <c r="B320" s="6" t="s">
        <v>58</v>
      </c>
      <c r="C320" s="7">
        <v>45250</v>
      </c>
      <c r="D320" s="25">
        <f t="shared" si="8"/>
        <v>11</v>
      </c>
      <c r="E320" s="25">
        <f t="shared" si="9"/>
        <v>2023</v>
      </c>
      <c r="F320" s="7" t="s">
        <v>107</v>
      </c>
      <c r="G320" s="4" t="s">
        <v>111</v>
      </c>
      <c r="H320" s="4" t="s">
        <v>120</v>
      </c>
      <c r="I320" s="9">
        <v>8695</v>
      </c>
      <c r="J320" s="9" t="s">
        <v>126</v>
      </c>
      <c r="K320" s="8">
        <v>45251</v>
      </c>
      <c r="L320" s="21">
        <v>8695</v>
      </c>
      <c r="M320" s="8"/>
      <c r="N320" s="21"/>
      <c r="O320" s="8"/>
      <c r="P320" s="21"/>
      <c r="Q320" s="8"/>
      <c r="R320" s="28"/>
    </row>
    <row r="321" spans="1:18">
      <c r="A321" s="1" t="s">
        <v>457</v>
      </c>
      <c r="B321" s="6" t="s">
        <v>18</v>
      </c>
      <c r="C321" s="7">
        <v>45205</v>
      </c>
      <c r="D321" s="25">
        <f t="shared" si="8"/>
        <v>10</v>
      </c>
      <c r="E321" s="25">
        <f t="shared" si="9"/>
        <v>2023</v>
      </c>
      <c r="F321" s="7" t="s">
        <v>67</v>
      </c>
      <c r="G321" s="4" t="s">
        <v>111</v>
      </c>
      <c r="H321" s="4" t="s">
        <v>121</v>
      </c>
      <c r="I321" s="9">
        <v>3941</v>
      </c>
      <c r="J321" s="9" t="s">
        <v>126</v>
      </c>
      <c r="K321" s="8">
        <v>45206</v>
      </c>
      <c r="L321" s="21">
        <v>3941</v>
      </c>
      <c r="M321" s="8"/>
      <c r="N321" s="21"/>
      <c r="O321" s="8"/>
      <c r="P321" s="21"/>
      <c r="Q321" s="8"/>
      <c r="R321" s="28"/>
    </row>
    <row r="322" spans="1:18">
      <c r="A322" s="1" t="s">
        <v>458</v>
      </c>
      <c r="B322" s="6" t="s">
        <v>60</v>
      </c>
      <c r="C322" s="7">
        <v>45110</v>
      </c>
      <c r="D322" s="25">
        <f t="shared" si="8"/>
        <v>7</v>
      </c>
      <c r="E322" s="25">
        <f t="shared" si="9"/>
        <v>2023</v>
      </c>
      <c r="F322" s="7" t="s">
        <v>109</v>
      </c>
      <c r="G322" s="4" t="s">
        <v>111</v>
      </c>
      <c r="H322" s="4" t="s">
        <v>118</v>
      </c>
      <c r="I322" s="9">
        <v>7529</v>
      </c>
      <c r="J322" s="9" t="s">
        <v>138</v>
      </c>
      <c r="K322" s="8">
        <v>45111</v>
      </c>
      <c r="L322" s="21">
        <v>3764.5</v>
      </c>
      <c r="M322" s="8">
        <v>45140</v>
      </c>
      <c r="N322" s="21">
        <v>3764.5</v>
      </c>
      <c r="O322" s="8"/>
      <c r="P322" s="21"/>
      <c r="Q322" s="8"/>
      <c r="R322" s="28"/>
    </row>
    <row r="323" spans="1:18">
      <c r="A323" s="1" t="s">
        <v>459</v>
      </c>
      <c r="B323" s="6" t="s">
        <v>29</v>
      </c>
      <c r="C323" s="7">
        <v>45156</v>
      </c>
      <c r="D323" s="25">
        <f t="shared" si="8"/>
        <v>8</v>
      </c>
      <c r="E323" s="25">
        <f t="shared" si="9"/>
        <v>2023</v>
      </c>
      <c r="F323" s="7" t="s">
        <v>78</v>
      </c>
      <c r="G323" s="4" t="s">
        <v>111</v>
      </c>
      <c r="H323" s="4" t="s">
        <v>121</v>
      </c>
      <c r="I323" s="9">
        <v>3809</v>
      </c>
      <c r="J323" s="9" t="s">
        <v>137</v>
      </c>
      <c r="K323" s="8">
        <v>45157</v>
      </c>
      <c r="L323" s="21">
        <v>1269.6666666666667</v>
      </c>
      <c r="M323" s="8">
        <v>45186</v>
      </c>
      <c r="N323" s="21">
        <v>1269.6666666666667</v>
      </c>
      <c r="O323" s="8">
        <v>45201</v>
      </c>
      <c r="P323" s="21">
        <v>1269.6666666666667</v>
      </c>
      <c r="Q323" s="8"/>
      <c r="R323" s="28"/>
    </row>
    <row r="324" spans="1:18">
      <c r="A324" s="1" t="s">
        <v>460</v>
      </c>
      <c r="B324" s="6" t="s">
        <v>27</v>
      </c>
      <c r="C324" s="7">
        <v>45257</v>
      </c>
      <c r="D324" s="25">
        <f t="shared" ref="D324:D387" si="10">MONTH(C324)</f>
        <v>11</v>
      </c>
      <c r="E324" s="25">
        <f t="shared" ref="E324:E387" si="11">YEAR(C324)</f>
        <v>2023</v>
      </c>
      <c r="F324" s="7" t="s">
        <v>76</v>
      </c>
      <c r="G324" s="4" t="s">
        <v>110</v>
      </c>
      <c r="H324" s="4" t="s">
        <v>125</v>
      </c>
      <c r="I324" s="9">
        <v>9961</v>
      </c>
      <c r="J324" s="9" t="s">
        <v>137</v>
      </c>
      <c r="K324" s="8">
        <v>45258</v>
      </c>
      <c r="L324" s="21">
        <v>3320.3333333333335</v>
      </c>
      <c r="M324" s="8">
        <v>45287</v>
      </c>
      <c r="N324" s="21">
        <v>3320.3333333333335</v>
      </c>
      <c r="O324" s="8">
        <v>45302</v>
      </c>
      <c r="P324" s="21">
        <v>3320.3333333333335</v>
      </c>
      <c r="Q324" s="8"/>
      <c r="R324" s="28"/>
    </row>
    <row r="325" spans="1:18">
      <c r="A325" s="1" t="s">
        <v>461</v>
      </c>
      <c r="B325" s="6" t="s">
        <v>38</v>
      </c>
      <c r="C325" s="7">
        <v>45395</v>
      </c>
      <c r="D325" s="25">
        <f t="shared" si="10"/>
        <v>4</v>
      </c>
      <c r="E325" s="25">
        <f t="shared" si="11"/>
        <v>2024</v>
      </c>
      <c r="F325" s="7" t="s">
        <v>87</v>
      </c>
      <c r="G325" s="4" t="s">
        <v>110</v>
      </c>
      <c r="H325" s="4" t="s">
        <v>125</v>
      </c>
      <c r="I325" s="9">
        <v>3972</v>
      </c>
      <c r="J325" s="9" t="s">
        <v>126</v>
      </c>
      <c r="K325" s="8">
        <v>45396</v>
      </c>
      <c r="L325" s="21">
        <v>3972</v>
      </c>
      <c r="M325" s="8"/>
      <c r="N325" s="21"/>
      <c r="O325" s="8"/>
      <c r="P325" s="21"/>
      <c r="Q325" s="8"/>
      <c r="R325" s="28"/>
    </row>
    <row r="326" spans="1:18">
      <c r="A326" s="1" t="s">
        <v>462</v>
      </c>
      <c r="B326" s="6" t="s">
        <v>35</v>
      </c>
      <c r="C326" s="7">
        <v>45069</v>
      </c>
      <c r="D326" s="25">
        <f t="shared" si="10"/>
        <v>5</v>
      </c>
      <c r="E326" s="25">
        <f t="shared" si="11"/>
        <v>2023</v>
      </c>
      <c r="F326" s="7" t="s">
        <v>84</v>
      </c>
      <c r="G326" s="4" t="s">
        <v>112</v>
      </c>
      <c r="H326" s="4" t="s">
        <v>122</v>
      </c>
      <c r="I326" s="9">
        <v>4058</v>
      </c>
      <c r="J326" s="9" t="s">
        <v>126</v>
      </c>
      <c r="K326" s="8">
        <v>45070</v>
      </c>
      <c r="L326" s="21">
        <v>4058</v>
      </c>
      <c r="M326" s="8"/>
      <c r="N326" s="21"/>
      <c r="O326" s="8"/>
      <c r="P326" s="21"/>
      <c r="Q326" s="8"/>
      <c r="R326" s="28"/>
    </row>
    <row r="327" spans="1:18">
      <c r="A327" s="1" t="s">
        <v>463</v>
      </c>
      <c r="B327" s="6" t="s">
        <v>21</v>
      </c>
      <c r="C327" s="7">
        <v>45233</v>
      </c>
      <c r="D327" s="25">
        <f t="shared" si="10"/>
        <v>11</v>
      </c>
      <c r="E327" s="25">
        <f t="shared" si="11"/>
        <v>2023</v>
      </c>
      <c r="F327" s="7" t="s">
        <v>70</v>
      </c>
      <c r="G327" s="4" t="s">
        <v>110</v>
      </c>
      <c r="H327" s="4" t="s">
        <v>124</v>
      </c>
      <c r="I327" s="9">
        <v>6809</v>
      </c>
      <c r="J327" s="9" t="s">
        <v>137</v>
      </c>
      <c r="K327" s="8">
        <v>45234</v>
      </c>
      <c r="L327" s="21">
        <v>2269.6666666666665</v>
      </c>
      <c r="M327" s="8">
        <v>45263</v>
      </c>
      <c r="N327" s="21">
        <v>2269.6666666666665</v>
      </c>
      <c r="O327" s="8">
        <v>45278</v>
      </c>
      <c r="P327" s="21">
        <v>2269.6666666666665</v>
      </c>
      <c r="Q327" s="8"/>
      <c r="R327" s="28"/>
    </row>
    <row r="328" spans="1:18">
      <c r="A328" s="1" t="s">
        <v>464</v>
      </c>
      <c r="B328" s="6" t="s">
        <v>17</v>
      </c>
      <c r="C328" s="7">
        <v>45079</v>
      </c>
      <c r="D328" s="25">
        <f t="shared" si="10"/>
        <v>6</v>
      </c>
      <c r="E328" s="25">
        <f t="shared" si="11"/>
        <v>2023</v>
      </c>
      <c r="F328" s="7" t="s">
        <v>66</v>
      </c>
      <c r="G328" s="4" t="s">
        <v>110</v>
      </c>
      <c r="H328" s="4" t="s">
        <v>114</v>
      </c>
      <c r="I328" s="9">
        <v>4005</v>
      </c>
      <c r="J328" s="9" t="s">
        <v>126</v>
      </c>
      <c r="K328" s="8">
        <v>45080</v>
      </c>
      <c r="L328" s="21">
        <v>4005</v>
      </c>
      <c r="M328" s="8"/>
      <c r="N328" s="21"/>
      <c r="O328" s="8"/>
      <c r="P328" s="21"/>
      <c r="Q328" s="8"/>
      <c r="R328" s="28"/>
    </row>
    <row r="329" spans="1:18">
      <c r="A329" s="1" t="s">
        <v>465</v>
      </c>
      <c r="B329" s="6" t="s">
        <v>30</v>
      </c>
      <c r="C329" s="7">
        <v>45347</v>
      </c>
      <c r="D329" s="25">
        <f t="shared" si="10"/>
        <v>2</v>
      </c>
      <c r="E329" s="25">
        <f t="shared" si="11"/>
        <v>2024</v>
      </c>
      <c r="F329" s="7" t="s">
        <v>79</v>
      </c>
      <c r="G329" s="4" t="s">
        <v>111</v>
      </c>
      <c r="H329" s="4" t="s">
        <v>118</v>
      </c>
      <c r="I329" s="9">
        <v>7997</v>
      </c>
      <c r="J329" s="9" t="s">
        <v>137</v>
      </c>
      <c r="K329" s="8">
        <v>45348</v>
      </c>
      <c r="L329" s="21">
        <v>2665.6666666666665</v>
      </c>
      <c r="M329" s="8">
        <v>45377</v>
      </c>
      <c r="N329" s="21">
        <v>2665.6666666666665</v>
      </c>
      <c r="O329" s="8">
        <v>45392</v>
      </c>
      <c r="P329" s="21">
        <v>2665.6666666666665</v>
      </c>
      <c r="Q329" s="8"/>
      <c r="R329" s="28"/>
    </row>
    <row r="330" spans="1:18">
      <c r="A330" s="1" t="s">
        <v>466</v>
      </c>
      <c r="B330" s="6" t="s">
        <v>53</v>
      </c>
      <c r="C330" s="7">
        <v>45263</v>
      </c>
      <c r="D330" s="25">
        <f t="shared" si="10"/>
        <v>12</v>
      </c>
      <c r="E330" s="25">
        <f t="shared" si="11"/>
        <v>2023</v>
      </c>
      <c r="F330" s="7" t="s">
        <v>102</v>
      </c>
      <c r="G330" s="4" t="s">
        <v>111</v>
      </c>
      <c r="H330" s="4" t="s">
        <v>117</v>
      </c>
      <c r="I330" s="9">
        <v>3814</v>
      </c>
      <c r="J330" s="9" t="s">
        <v>137</v>
      </c>
      <c r="K330" s="8">
        <v>45264</v>
      </c>
      <c r="L330" s="21">
        <v>1271.3333333333333</v>
      </c>
      <c r="M330" s="8">
        <v>45293</v>
      </c>
      <c r="N330" s="21">
        <v>1271.3333333333333</v>
      </c>
      <c r="O330" s="8">
        <v>45308</v>
      </c>
      <c r="P330" s="21">
        <v>1271.3333333333333</v>
      </c>
      <c r="Q330" s="8"/>
      <c r="R330" s="28"/>
    </row>
    <row r="331" spans="1:18">
      <c r="A331" s="1" t="s">
        <v>467</v>
      </c>
      <c r="B331" s="6" t="s">
        <v>26</v>
      </c>
      <c r="C331" s="7">
        <v>45168</v>
      </c>
      <c r="D331" s="25">
        <f t="shared" si="10"/>
        <v>8</v>
      </c>
      <c r="E331" s="25">
        <f t="shared" si="11"/>
        <v>2023</v>
      </c>
      <c r="F331" s="7" t="s">
        <v>75</v>
      </c>
      <c r="G331" s="4" t="s">
        <v>112</v>
      </c>
      <c r="H331" s="4" t="s">
        <v>123</v>
      </c>
      <c r="I331" s="9">
        <v>8017</v>
      </c>
      <c r="J331" s="9" t="s">
        <v>126</v>
      </c>
      <c r="K331" s="8">
        <v>45169</v>
      </c>
      <c r="L331" s="21">
        <v>8017</v>
      </c>
      <c r="M331" s="8"/>
      <c r="N331" s="21"/>
      <c r="O331" s="8"/>
      <c r="P331" s="21"/>
      <c r="Q331" s="8"/>
      <c r="R331" s="28"/>
    </row>
    <row r="332" spans="1:18">
      <c r="A332" s="1" t="s">
        <v>468</v>
      </c>
      <c r="B332" s="6" t="s">
        <v>21</v>
      </c>
      <c r="C332" s="7">
        <v>45250</v>
      </c>
      <c r="D332" s="25">
        <f t="shared" si="10"/>
        <v>11</v>
      </c>
      <c r="E332" s="25">
        <f t="shared" si="11"/>
        <v>2023</v>
      </c>
      <c r="F332" s="7" t="s">
        <v>70</v>
      </c>
      <c r="G332" s="4" t="s">
        <v>110</v>
      </c>
      <c r="H332" s="4" t="s">
        <v>124</v>
      </c>
      <c r="I332" s="9">
        <v>7719</v>
      </c>
      <c r="J332" s="9" t="s">
        <v>138</v>
      </c>
      <c r="K332" s="8">
        <v>45251</v>
      </c>
      <c r="L332" s="21">
        <v>3859.5</v>
      </c>
      <c r="M332" s="8">
        <v>45280</v>
      </c>
      <c r="N332" s="21">
        <v>3859.5</v>
      </c>
      <c r="O332" s="8"/>
      <c r="P332" s="21"/>
      <c r="Q332" s="8"/>
      <c r="R332" s="28"/>
    </row>
    <row r="333" spans="1:18">
      <c r="A333" s="1" t="s">
        <v>469</v>
      </c>
      <c r="B333" s="6" t="s">
        <v>54</v>
      </c>
      <c r="C333" s="7">
        <v>45175</v>
      </c>
      <c r="D333" s="25">
        <f t="shared" si="10"/>
        <v>9</v>
      </c>
      <c r="E333" s="25">
        <f t="shared" si="11"/>
        <v>2023</v>
      </c>
      <c r="F333" s="7" t="s">
        <v>103</v>
      </c>
      <c r="G333" s="4" t="s">
        <v>110</v>
      </c>
      <c r="H333" s="4" t="s">
        <v>124</v>
      </c>
      <c r="I333" s="9">
        <v>8837</v>
      </c>
      <c r="J333" s="9" t="s">
        <v>126</v>
      </c>
      <c r="K333" s="8">
        <v>45176</v>
      </c>
      <c r="L333" s="21">
        <v>8837</v>
      </c>
      <c r="M333" s="8"/>
      <c r="N333" s="21"/>
      <c r="O333" s="8"/>
      <c r="P333" s="21"/>
      <c r="Q333" s="8"/>
      <c r="R333" s="28"/>
    </row>
    <row r="334" spans="1:18">
      <c r="A334" s="1" t="s">
        <v>470</v>
      </c>
      <c r="B334" s="6" t="s">
        <v>35</v>
      </c>
      <c r="C334" s="7">
        <v>45114</v>
      </c>
      <c r="D334" s="25">
        <f t="shared" si="10"/>
        <v>7</v>
      </c>
      <c r="E334" s="25">
        <f t="shared" si="11"/>
        <v>2023</v>
      </c>
      <c r="F334" s="7" t="s">
        <v>84</v>
      </c>
      <c r="G334" s="4" t="s">
        <v>112</v>
      </c>
      <c r="H334" s="4" t="s">
        <v>122</v>
      </c>
      <c r="I334" s="9">
        <v>3117</v>
      </c>
      <c r="J334" s="9" t="s">
        <v>126</v>
      </c>
      <c r="K334" s="8">
        <v>45115</v>
      </c>
      <c r="L334" s="21">
        <v>3117</v>
      </c>
      <c r="M334" s="8"/>
      <c r="N334" s="21"/>
      <c r="O334" s="8"/>
      <c r="P334" s="21"/>
      <c r="Q334" s="8"/>
      <c r="R334" s="28"/>
    </row>
    <row r="335" spans="1:18">
      <c r="A335" s="1" t="s">
        <v>471</v>
      </c>
      <c r="B335" s="6" t="s">
        <v>20</v>
      </c>
      <c r="C335" s="7">
        <v>45302</v>
      </c>
      <c r="D335" s="25">
        <f t="shared" si="10"/>
        <v>1</v>
      </c>
      <c r="E335" s="25">
        <f t="shared" si="11"/>
        <v>2024</v>
      </c>
      <c r="F335" s="7" t="s">
        <v>69</v>
      </c>
      <c r="G335" s="4" t="s">
        <v>111</v>
      </c>
      <c r="H335" s="4" t="s">
        <v>117</v>
      </c>
      <c r="I335" s="9">
        <v>781</v>
      </c>
      <c r="J335" s="9" t="s">
        <v>136</v>
      </c>
      <c r="K335" s="8">
        <v>45303</v>
      </c>
      <c r="L335" s="21">
        <v>195.25</v>
      </c>
      <c r="M335" s="8">
        <v>45332</v>
      </c>
      <c r="N335" s="21">
        <v>195.25</v>
      </c>
      <c r="O335" s="8">
        <v>45347</v>
      </c>
      <c r="P335" s="21">
        <v>195.25</v>
      </c>
      <c r="Q335" s="8">
        <v>45362</v>
      </c>
      <c r="R335" s="28">
        <v>195.25</v>
      </c>
    </row>
    <row r="336" spans="1:18">
      <c r="A336" s="1" t="s">
        <v>472</v>
      </c>
      <c r="B336" s="6" t="s">
        <v>14</v>
      </c>
      <c r="C336" s="7">
        <v>45259</v>
      </c>
      <c r="D336" s="25">
        <f t="shared" si="10"/>
        <v>11</v>
      </c>
      <c r="E336" s="25">
        <f t="shared" si="11"/>
        <v>2023</v>
      </c>
      <c r="F336" s="7" t="s">
        <v>61</v>
      </c>
      <c r="G336" s="4" t="s">
        <v>110</v>
      </c>
      <c r="H336" s="4" t="s">
        <v>113</v>
      </c>
      <c r="I336" s="9">
        <v>2684</v>
      </c>
      <c r="J336" s="9" t="s">
        <v>138</v>
      </c>
      <c r="K336" s="8">
        <v>45260</v>
      </c>
      <c r="L336" s="21">
        <v>1342</v>
      </c>
      <c r="M336" s="8">
        <v>45289</v>
      </c>
      <c r="N336" s="21">
        <v>1342</v>
      </c>
      <c r="O336" s="8"/>
      <c r="P336" s="21"/>
      <c r="Q336" s="8"/>
      <c r="R336" s="28"/>
    </row>
    <row r="337" spans="1:18">
      <c r="A337" s="1" t="s">
        <v>473</v>
      </c>
      <c r="B337" s="6" t="s">
        <v>41</v>
      </c>
      <c r="C337" s="7">
        <v>45076</v>
      </c>
      <c r="D337" s="25">
        <f t="shared" si="10"/>
        <v>5</v>
      </c>
      <c r="E337" s="25">
        <f t="shared" si="11"/>
        <v>2023</v>
      </c>
      <c r="F337" s="7" t="s">
        <v>90</v>
      </c>
      <c r="G337" s="4" t="s">
        <v>111</v>
      </c>
      <c r="H337" s="4" t="s">
        <v>118</v>
      </c>
      <c r="I337" s="9">
        <v>5313</v>
      </c>
      <c r="J337" s="9" t="s">
        <v>138</v>
      </c>
      <c r="K337" s="8">
        <v>45077</v>
      </c>
      <c r="L337" s="21">
        <v>2656.5</v>
      </c>
      <c r="M337" s="8">
        <v>45106</v>
      </c>
      <c r="N337" s="21">
        <v>2656.5</v>
      </c>
      <c r="O337" s="8"/>
      <c r="P337" s="21"/>
      <c r="Q337" s="8"/>
      <c r="R337" s="28"/>
    </row>
    <row r="338" spans="1:18">
      <c r="A338" s="1" t="s">
        <v>474</v>
      </c>
      <c r="B338" s="6" t="s">
        <v>60</v>
      </c>
      <c r="C338" s="7">
        <v>45294</v>
      </c>
      <c r="D338" s="25">
        <f t="shared" si="10"/>
        <v>1</v>
      </c>
      <c r="E338" s="25">
        <f t="shared" si="11"/>
        <v>2024</v>
      </c>
      <c r="F338" s="7" t="s">
        <v>109</v>
      </c>
      <c r="G338" s="4" t="s">
        <v>111</v>
      </c>
      <c r="H338" s="4" t="s">
        <v>118</v>
      </c>
      <c r="I338" s="9">
        <v>1085</v>
      </c>
      <c r="J338" s="9" t="s">
        <v>137</v>
      </c>
      <c r="K338" s="8">
        <v>45295</v>
      </c>
      <c r="L338" s="21">
        <v>361.66666666666669</v>
      </c>
      <c r="M338" s="8">
        <v>45324</v>
      </c>
      <c r="N338" s="21">
        <v>361.66666666666669</v>
      </c>
      <c r="O338" s="8">
        <v>45339</v>
      </c>
      <c r="P338" s="21">
        <v>361.66666666666669</v>
      </c>
      <c r="Q338" s="8"/>
      <c r="R338" s="28"/>
    </row>
    <row r="339" spans="1:18">
      <c r="A339" s="1" t="s">
        <v>475</v>
      </c>
      <c r="B339" s="6" t="s">
        <v>36</v>
      </c>
      <c r="C339" s="7">
        <v>45272</v>
      </c>
      <c r="D339" s="25">
        <f t="shared" si="10"/>
        <v>12</v>
      </c>
      <c r="E339" s="25">
        <f t="shared" si="11"/>
        <v>2023</v>
      </c>
      <c r="F339" s="7" t="s">
        <v>85</v>
      </c>
      <c r="G339" s="4" t="s">
        <v>111</v>
      </c>
      <c r="H339" s="4" t="s">
        <v>120</v>
      </c>
      <c r="I339" s="9">
        <v>9429</v>
      </c>
      <c r="J339" s="9" t="s">
        <v>138</v>
      </c>
      <c r="K339" s="8">
        <v>45273</v>
      </c>
      <c r="L339" s="21">
        <v>4714.5</v>
      </c>
      <c r="M339" s="8">
        <v>45302</v>
      </c>
      <c r="N339" s="21">
        <v>4714.5</v>
      </c>
      <c r="O339" s="8"/>
      <c r="P339" s="21"/>
      <c r="Q339" s="8"/>
      <c r="R339" s="28"/>
    </row>
    <row r="340" spans="1:18">
      <c r="A340" s="1" t="s">
        <v>476</v>
      </c>
      <c r="B340" s="6" t="s">
        <v>27</v>
      </c>
      <c r="C340" s="7">
        <v>45319</v>
      </c>
      <c r="D340" s="25">
        <f t="shared" si="10"/>
        <v>1</v>
      </c>
      <c r="E340" s="25">
        <f t="shared" si="11"/>
        <v>2024</v>
      </c>
      <c r="F340" s="7" t="s">
        <v>76</v>
      </c>
      <c r="G340" s="4" t="s">
        <v>110</v>
      </c>
      <c r="H340" s="4" t="s">
        <v>125</v>
      </c>
      <c r="I340" s="9">
        <v>8504</v>
      </c>
      <c r="J340" s="9" t="s">
        <v>126</v>
      </c>
      <c r="K340" s="8">
        <v>45320</v>
      </c>
      <c r="L340" s="21">
        <v>8504</v>
      </c>
      <c r="M340" s="8"/>
      <c r="N340" s="21"/>
      <c r="O340" s="8"/>
      <c r="P340" s="21"/>
      <c r="Q340" s="8"/>
      <c r="R340" s="28"/>
    </row>
    <row r="341" spans="1:18">
      <c r="A341" s="1" t="s">
        <v>477</v>
      </c>
      <c r="B341" s="6" t="s">
        <v>37</v>
      </c>
      <c r="C341" s="7">
        <v>45101</v>
      </c>
      <c r="D341" s="25">
        <f t="shared" si="10"/>
        <v>6</v>
      </c>
      <c r="E341" s="25">
        <f t="shared" si="11"/>
        <v>2023</v>
      </c>
      <c r="F341" s="7" t="s">
        <v>86</v>
      </c>
      <c r="G341" s="4" t="s">
        <v>112</v>
      </c>
      <c r="H341" s="4" t="s">
        <v>123</v>
      </c>
      <c r="I341" s="9">
        <v>1646</v>
      </c>
      <c r="J341" s="9" t="s">
        <v>126</v>
      </c>
      <c r="K341" s="8">
        <v>45102</v>
      </c>
      <c r="L341" s="21">
        <v>1646</v>
      </c>
      <c r="M341" s="8"/>
      <c r="N341" s="21"/>
      <c r="O341" s="8"/>
      <c r="P341" s="21"/>
      <c r="Q341" s="8"/>
      <c r="R341" s="28"/>
    </row>
    <row r="342" spans="1:18">
      <c r="A342" s="1" t="s">
        <v>478</v>
      </c>
      <c r="B342" s="6" t="s">
        <v>28</v>
      </c>
      <c r="C342" s="7">
        <v>45287</v>
      </c>
      <c r="D342" s="25">
        <f t="shared" si="10"/>
        <v>12</v>
      </c>
      <c r="E342" s="25">
        <f t="shared" si="11"/>
        <v>2023</v>
      </c>
      <c r="F342" s="7" t="s">
        <v>77</v>
      </c>
      <c r="G342" s="4" t="s">
        <v>110</v>
      </c>
      <c r="H342" s="4" t="s">
        <v>114</v>
      </c>
      <c r="I342" s="9">
        <v>7876</v>
      </c>
      <c r="J342" s="9" t="s">
        <v>136</v>
      </c>
      <c r="K342" s="8">
        <v>45288</v>
      </c>
      <c r="L342" s="21">
        <v>1969</v>
      </c>
      <c r="M342" s="8">
        <v>45317</v>
      </c>
      <c r="N342" s="21">
        <v>1969</v>
      </c>
      <c r="O342" s="8">
        <v>45332</v>
      </c>
      <c r="P342" s="21">
        <v>1969</v>
      </c>
      <c r="Q342" s="8">
        <v>45347</v>
      </c>
      <c r="R342" s="28">
        <v>1969</v>
      </c>
    </row>
    <row r="343" spans="1:18">
      <c r="A343" s="1" t="s">
        <v>479</v>
      </c>
      <c r="B343" s="6" t="s">
        <v>29</v>
      </c>
      <c r="C343" s="7">
        <v>45302</v>
      </c>
      <c r="D343" s="25">
        <f t="shared" si="10"/>
        <v>1</v>
      </c>
      <c r="E343" s="25">
        <f t="shared" si="11"/>
        <v>2024</v>
      </c>
      <c r="F343" s="7" t="s">
        <v>78</v>
      </c>
      <c r="G343" s="4" t="s">
        <v>111</v>
      </c>
      <c r="H343" s="4" t="s">
        <v>121</v>
      </c>
      <c r="I343" s="9">
        <v>4203</v>
      </c>
      <c r="J343" s="9" t="s">
        <v>137</v>
      </c>
      <c r="K343" s="8">
        <v>45303</v>
      </c>
      <c r="L343" s="21">
        <v>1401</v>
      </c>
      <c r="M343" s="8">
        <v>45332</v>
      </c>
      <c r="N343" s="21">
        <v>1401</v>
      </c>
      <c r="O343" s="8">
        <v>45347</v>
      </c>
      <c r="P343" s="21">
        <v>1401</v>
      </c>
      <c r="Q343" s="8"/>
      <c r="R343" s="28"/>
    </row>
    <row r="344" spans="1:18">
      <c r="A344" s="1" t="s">
        <v>480</v>
      </c>
      <c r="B344" s="6" t="s">
        <v>30</v>
      </c>
      <c r="C344" s="7">
        <v>45223</v>
      </c>
      <c r="D344" s="25">
        <f t="shared" si="10"/>
        <v>10</v>
      </c>
      <c r="E344" s="25">
        <f t="shared" si="11"/>
        <v>2023</v>
      </c>
      <c r="F344" s="7" t="s">
        <v>79</v>
      </c>
      <c r="G344" s="4" t="s">
        <v>111</v>
      </c>
      <c r="H344" s="4" t="s">
        <v>118</v>
      </c>
      <c r="I344" s="9">
        <v>5128</v>
      </c>
      <c r="J344" s="9" t="s">
        <v>126</v>
      </c>
      <c r="K344" s="8">
        <v>45224</v>
      </c>
      <c r="L344" s="21">
        <v>5128</v>
      </c>
      <c r="M344" s="8"/>
      <c r="N344" s="21"/>
      <c r="O344" s="8"/>
      <c r="P344" s="21"/>
      <c r="Q344" s="8"/>
      <c r="R344" s="28"/>
    </row>
    <row r="345" spans="1:18">
      <c r="A345" s="1" t="s">
        <v>481</v>
      </c>
      <c r="B345" s="6" t="s">
        <v>16</v>
      </c>
      <c r="C345" s="7">
        <v>45218</v>
      </c>
      <c r="D345" s="25">
        <f t="shared" si="10"/>
        <v>10</v>
      </c>
      <c r="E345" s="25">
        <f t="shared" si="11"/>
        <v>2023</v>
      </c>
      <c r="F345" s="7" t="s">
        <v>65</v>
      </c>
      <c r="G345" s="4" t="s">
        <v>110</v>
      </c>
      <c r="H345" s="4" t="s">
        <v>125</v>
      </c>
      <c r="I345" s="9">
        <v>6535</v>
      </c>
      <c r="J345" s="9" t="s">
        <v>138</v>
      </c>
      <c r="K345" s="8">
        <v>45219</v>
      </c>
      <c r="L345" s="21">
        <v>3267.5</v>
      </c>
      <c r="M345" s="8">
        <v>45248</v>
      </c>
      <c r="N345" s="21">
        <v>3267.5</v>
      </c>
      <c r="O345" s="8"/>
      <c r="P345" s="21"/>
      <c r="Q345" s="8"/>
      <c r="R345" s="28"/>
    </row>
    <row r="346" spans="1:18">
      <c r="A346" s="1" t="s">
        <v>482</v>
      </c>
      <c r="B346" s="6" t="s">
        <v>22</v>
      </c>
      <c r="C346" s="7">
        <v>45268</v>
      </c>
      <c r="D346" s="25">
        <f t="shared" si="10"/>
        <v>12</v>
      </c>
      <c r="E346" s="25">
        <f t="shared" si="11"/>
        <v>2023</v>
      </c>
      <c r="F346" s="7" t="s">
        <v>71</v>
      </c>
      <c r="G346" s="4" t="s">
        <v>111</v>
      </c>
      <c r="H346" s="4" t="s">
        <v>119</v>
      </c>
      <c r="I346" s="9">
        <v>9749</v>
      </c>
      <c r="J346" s="9" t="s">
        <v>126</v>
      </c>
      <c r="K346" s="8">
        <v>45269</v>
      </c>
      <c r="L346" s="21">
        <v>9749</v>
      </c>
      <c r="M346" s="8"/>
      <c r="N346" s="21"/>
      <c r="O346" s="8"/>
      <c r="P346" s="21"/>
      <c r="Q346" s="8"/>
      <c r="R346" s="28"/>
    </row>
    <row r="347" spans="1:18">
      <c r="A347" s="1" t="s">
        <v>483</v>
      </c>
      <c r="B347" s="6" t="s">
        <v>49</v>
      </c>
      <c r="C347" s="7">
        <v>45398</v>
      </c>
      <c r="D347" s="25">
        <f t="shared" si="10"/>
        <v>4</v>
      </c>
      <c r="E347" s="25">
        <f t="shared" si="11"/>
        <v>2024</v>
      </c>
      <c r="F347" s="7" t="s">
        <v>98</v>
      </c>
      <c r="G347" s="4" t="s">
        <v>110</v>
      </c>
      <c r="H347" s="4" t="s">
        <v>125</v>
      </c>
      <c r="I347" s="9">
        <v>7122</v>
      </c>
      <c r="J347" s="9" t="s">
        <v>138</v>
      </c>
      <c r="K347" s="8">
        <v>45399</v>
      </c>
      <c r="L347" s="21">
        <v>3561</v>
      </c>
      <c r="M347" s="8">
        <v>45428</v>
      </c>
      <c r="N347" s="21">
        <v>3561</v>
      </c>
      <c r="O347" s="8"/>
      <c r="P347" s="21"/>
      <c r="Q347" s="8"/>
      <c r="R347" s="28"/>
    </row>
    <row r="348" spans="1:18">
      <c r="A348" s="1" t="s">
        <v>484</v>
      </c>
      <c r="B348" s="6" t="s">
        <v>23</v>
      </c>
      <c r="C348" s="7">
        <v>45248</v>
      </c>
      <c r="D348" s="25">
        <f t="shared" si="10"/>
        <v>11</v>
      </c>
      <c r="E348" s="25">
        <f t="shared" si="11"/>
        <v>2023</v>
      </c>
      <c r="F348" s="7" t="s">
        <v>72</v>
      </c>
      <c r="G348" s="4" t="s">
        <v>110</v>
      </c>
      <c r="H348" s="4" t="s">
        <v>113</v>
      </c>
      <c r="I348" s="9">
        <v>5829</v>
      </c>
      <c r="J348" s="9" t="s">
        <v>138</v>
      </c>
      <c r="K348" s="8">
        <v>45249</v>
      </c>
      <c r="L348" s="21">
        <v>2914.5</v>
      </c>
      <c r="M348" s="8">
        <v>45278</v>
      </c>
      <c r="N348" s="21">
        <v>2914.5</v>
      </c>
      <c r="O348" s="8"/>
      <c r="P348" s="21"/>
      <c r="Q348" s="8"/>
      <c r="R348" s="28"/>
    </row>
    <row r="349" spans="1:18">
      <c r="A349" s="1" t="s">
        <v>485</v>
      </c>
      <c r="B349" s="6" t="s">
        <v>15</v>
      </c>
      <c r="C349" s="7">
        <v>45197</v>
      </c>
      <c r="D349" s="25">
        <f t="shared" si="10"/>
        <v>9</v>
      </c>
      <c r="E349" s="25">
        <f t="shared" si="11"/>
        <v>2023</v>
      </c>
      <c r="F349" s="7" t="s">
        <v>64</v>
      </c>
      <c r="G349" s="4" t="s">
        <v>112</v>
      </c>
      <c r="H349" s="4" t="s">
        <v>123</v>
      </c>
      <c r="I349" s="9">
        <v>540</v>
      </c>
      <c r="J349" s="9" t="s">
        <v>126</v>
      </c>
      <c r="K349" s="8">
        <v>45198</v>
      </c>
      <c r="L349" s="21">
        <v>540</v>
      </c>
      <c r="M349" s="8"/>
      <c r="N349" s="21"/>
      <c r="O349" s="8"/>
      <c r="P349" s="21"/>
      <c r="Q349" s="8"/>
      <c r="R349" s="28"/>
    </row>
    <row r="350" spans="1:18">
      <c r="A350" s="1" t="s">
        <v>486</v>
      </c>
      <c r="B350" s="6" t="s">
        <v>59</v>
      </c>
      <c r="C350" s="7">
        <v>45176</v>
      </c>
      <c r="D350" s="25">
        <f t="shared" si="10"/>
        <v>9</v>
      </c>
      <c r="E350" s="25">
        <f t="shared" si="11"/>
        <v>2023</v>
      </c>
      <c r="F350" s="7" t="s">
        <v>108</v>
      </c>
      <c r="G350" s="4" t="s">
        <v>111</v>
      </c>
      <c r="H350" s="4" t="s">
        <v>121</v>
      </c>
      <c r="I350" s="9">
        <v>8984</v>
      </c>
      <c r="J350" s="9" t="s">
        <v>138</v>
      </c>
      <c r="K350" s="8">
        <v>45177</v>
      </c>
      <c r="L350" s="21">
        <v>4492</v>
      </c>
      <c r="M350" s="8">
        <v>45206</v>
      </c>
      <c r="N350" s="21">
        <v>4492</v>
      </c>
      <c r="O350" s="8"/>
      <c r="P350" s="21"/>
      <c r="Q350" s="8"/>
      <c r="R350" s="28"/>
    </row>
    <row r="351" spans="1:18">
      <c r="A351" s="1" t="s">
        <v>487</v>
      </c>
      <c r="B351" s="6" t="s">
        <v>27</v>
      </c>
      <c r="C351" s="7">
        <v>45202</v>
      </c>
      <c r="D351" s="25">
        <f t="shared" si="10"/>
        <v>10</v>
      </c>
      <c r="E351" s="25">
        <f t="shared" si="11"/>
        <v>2023</v>
      </c>
      <c r="F351" s="7" t="s">
        <v>76</v>
      </c>
      <c r="G351" s="4" t="s">
        <v>110</v>
      </c>
      <c r="H351" s="4" t="s">
        <v>125</v>
      </c>
      <c r="I351" s="9">
        <v>6497</v>
      </c>
      <c r="J351" s="9" t="s">
        <v>126</v>
      </c>
      <c r="K351" s="8">
        <v>45203</v>
      </c>
      <c r="L351" s="21">
        <v>6497</v>
      </c>
      <c r="M351" s="8"/>
      <c r="N351" s="21"/>
      <c r="O351" s="8"/>
      <c r="P351" s="21"/>
      <c r="Q351" s="8"/>
      <c r="R351" s="28"/>
    </row>
    <row r="352" spans="1:18">
      <c r="A352" s="1" t="s">
        <v>488</v>
      </c>
      <c r="B352" s="6" t="s">
        <v>14</v>
      </c>
      <c r="C352" s="7">
        <v>45461</v>
      </c>
      <c r="D352" s="25">
        <f t="shared" si="10"/>
        <v>6</v>
      </c>
      <c r="E352" s="25">
        <f t="shared" si="11"/>
        <v>2024</v>
      </c>
      <c r="F352" s="7" t="s">
        <v>61</v>
      </c>
      <c r="G352" s="4" t="s">
        <v>110</v>
      </c>
      <c r="H352" s="4" t="s">
        <v>113</v>
      </c>
      <c r="I352" s="9">
        <v>758</v>
      </c>
      <c r="J352" s="9" t="s">
        <v>138</v>
      </c>
      <c r="K352" s="8">
        <v>45462</v>
      </c>
      <c r="L352" s="21">
        <v>379</v>
      </c>
      <c r="M352" s="8">
        <v>45491</v>
      </c>
      <c r="N352" s="21">
        <v>379</v>
      </c>
      <c r="O352" s="8"/>
      <c r="P352" s="21"/>
      <c r="Q352" s="8"/>
      <c r="R352" s="28"/>
    </row>
    <row r="353" spans="1:18">
      <c r="A353" s="1" t="s">
        <v>489</v>
      </c>
      <c r="B353" s="6" t="s">
        <v>24</v>
      </c>
      <c r="C353" s="7">
        <v>45379</v>
      </c>
      <c r="D353" s="25">
        <f t="shared" si="10"/>
        <v>3</v>
      </c>
      <c r="E353" s="25">
        <f t="shared" si="11"/>
        <v>2024</v>
      </c>
      <c r="F353" s="7" t="s">
        <v>73</v>
      </c>
      <c r="G353" s="4" t="s">
        <v>112</v>
      </c>
      <c r="H353" s="4" t="s">
        <v>122</v>
      </c>
      <c r="I353" s="9">
        <v>4543</v>
      </c>
      <c r="J353" s="9" t="s">
        <v>126</v>
      </c>
      <c r="K353" s="8">
        <v>45380</v>
      </c>
      <c r="L353" s="21">
        <v>4543</v>
      </c>
      <c r="M353" s="8"/>
      <c r="N353" s="21"/>
      <c r="O353" s="8"/>
      <c r="P353" s="21"/>
      <c r="Q353" s="8"/>
      <c r="R353" s="28"/>
    </row>
    <row r="354" spans="1:18">
      <c r="A354" s="1" t="s">
        <v>490</v>
      </c>
      <c r="B354" s="6" t="s">
        <v>28</v>
      </c>
      <c r="C354" s="7">
        <v>45199</v>
      </c>
      <c r="D354" s="25">
        <f t="shared" si="10"/>
        <v>9</v>
      </c>
      <c r="E354" s="25">
        <f t="shared" si="11"/>
        <v>2023</v>
      </c>
      <c r="F354" s="7" t="s">
        <v>77</v>
      </c>
      <c r="G354" s="4" t="s">
        <v>110</v>
      </c>
      <c r="H354" s="4" t="s">
        <v>114</v>
      </c>
      <c r="I354" s="9">
        <v>7578</v>
      </c>
      <c r="J354" s="9" t="s">
        <v>126</v>
      </c>
      <c r="K354" s="8">
        <v>45200</v>
      </c>
      <c r="L354" s="21">
        <v>7578</v>
      </c>
      <c r="M354" s="8"/>
      <c r="N354" s="21"/>
      <c r="O354" s="8"/>
      <c r="P354" s="21"/>
      <c r="Q354" s="8"/>
      <c r="R354" s="28"/>
    </row>
    <row r="355" spans="1:18">
      <c r="A355" s="1" t="s">
        <v>491</v>
      </c>
      <c r="B355" s="6" t="s">
        <v>19</v>
      </c>
      <c r="C355" s="7">
        <v>45243</v>
      </c>
      <c r="D355" s="25">
        <f t="shared" si="10"/>
        <v>11</v>
      </c>
      <c r="E355" s="25">
        <f t="shared" si="11"/>
        <v>2023</v>
      </c>
      <c r="F355" s="7" t="s">
        <v>68</v>
      </c>
      <c r="G355" s="4" t="s">
        <v>111</v>
      </c>
      <c r="H355" s="4" t="s">
        <v>118</v>
      </c>
      <c r="I355" s="9">
        <v>4592</v>
      </c>
      <c r="J355" s="9" t="s">
        <v>137</v>
      </c>
      <c r="K355" s="8">
        <v>45244</v>
      </c>
      <c r="L355" s="21">
        <v>1530.6666666666667</v>
      </c>
      <c r="M355" s="8">
        <v>45273</v>
      </c>
      <c r="N355" s="21">
        <v>1530.6666666666667</v>
      </c>
      <c r="O355" s="8">
        <v>45288</v>
      </c>
      <c r="P355" s="21">
        <v>1530.6666666666667</v>
      </c>
      <c r="Q355" s="8"/>
      <c r="R355" s="28"/>
    </row>
    <row r="356" spans="1:18">
      <c r="A356" s="1" t="s">
        <v>492</v>
      </c>
      <c r="B356" s="6" t="s">
        <v>37</v>
      </c>
      <c r="C356" s="7">
        <v>45183</v>
      </c>
      <c r="D356" s="25">
        <f t="shared" si="10"/>
        <v>9</v>
      </c>
      <c r="E356" s="25">
        <f t="shared" si="11"/>
        <v>2023</v>
      </c>
      <c r="F356" s="7" t="s">
        <v>86</v>
      </c>
      <c r="G356" s="4" t="s">
        <v>112</v>
      </c>
      <c r="H356" s="4" t="s">
        <v>123</v>
      </c>
      <c r="I356" s="9">
        <v>5792</v>
      </c>
      <c r="J356" s="9" t="s">
        <v>126</v>
      </c>
      <c r="K356" s="8">
        <v>45184</v>
      </c>
      <c r="L356" s="21">
        <v>5792</v>
      </c>
      <c r="M356" s="8"/>
      <c r="N356" s="21"/>
      <c r="O356" s="8"/>
      <c r="P356" s="21"/>
      <c r="Q356" s="8"/>
      <c r="R356" s="28"/>
    </row>
    <row r="357" spans="1:18">
      <c r="A357" s="1" t="s">
        <v>493</v>
      </c>
      <c r="B357" s="6" t="s">
        <v>57</v>
      </c>
      <c r="C357" s="7">
        <v>45311</v>
      </c>
      <c r="D357" s="25">
        <f t="shared" si="10"/>
        <v>1</v>
      </c>
      <c r="E357" s="25">
        <f t="shared" si="11"/>
        <v>2024</v>
      </c>
      <c r="F357" s="7" t="s">
        <v>106</v>
      </c>
      <c r="G357" s="4" t="s">
        <v>112</v>
      </c>
      <c r="H357" s="4" t="s">
        <v>122</v>
      </c>
      <c r="I357" s="9">
        <v>616</v>
      </c>
      <c r="J357" s="9" t="s">
        <v>126</v>
      </c>
      <c r="K357" s="8">
        <v>45312</v>
      </c>
      <c r="L357" s="21">
        <v>616</v>
      </c>
      <c r="M357" s="8"/>
      <c r="N357" s="21"/>
      <c r="O357" s="8"/>
      <c r="P357" s="21"/>
      <c r="Q357" s="8"/>
      <c r="R357" s="28"/>
    </row>
    <row r="358" spans="1:18">
      <c r="A358" s="1" t="s">
        <v>494</v>
      </c>
      <c r="B358" s="6" t="s">
        <v>21</v>
      </c>
      <c r="C358" s="7">
        <v>45478</v>
      </c>
      <c r="D358" s="25">
        <f t="shared" si="10"/>
        <v>7</v>
      </c>
      <c r="E358" s="25">
        <f t="shared" si="11"/>
        <v>2024</v>
      </c>
      <c r="F358" s="7" t="s">
        <v>70</v>
      </c>
      <c r="G358" s="4" t="s">
        <v>110</v>
      </c>
      <c r="H358" s="4" t="s">
        <v>124</v>
      </c>
      <c r="I358" s="9">
        <v>4140</v>
      </c>
      <c r="J358" s="9" t="s">
        <v>126</v>
      </c>
      <c r="K358" s="8">
        <v>45479</v>
      </c>
      <c r="L358" s="21">
        <v>4140</v>
      </c>
      <c r="M358" s="8"/>
      <c r="N358" s="21"/>
      <c r="O358" s="8"/>
      <c r="P358" s="21"/>
      <c r="Q358" s="8"/>
      <c r="R358" s="28"/>
    </row>
    <row r="359" spans="1:18">
      <c r="A359" s="1" t="s">
        <v>495</v>
      </c>
      <c r="B359" s="6" t="s">
        <v>30</v>
      </c>
      <c r="C359" s="7">
        <v>45252</v>
      </c>
      <c r="D359" s="25">
        <f t="shared" si="10"/>
        <v>11</v>
      </c>
      <c r="E359" s="25">
        <f t="shared" si="11"/>
        <v>2023</v>
      </c>
      <c r="F359" s="7" t="s">
        <v>79</v>
      </c>
      <c r="G359" s="4" t="s">
        <v>111</v>
      </c>
      <c r="H359" s="4" t="s">
        <v>118</v>
      </c>
      <c r="I359" s="9">
        <v>9229</v>
      </c>
      <c r="J359" s="9" t="s">
        <v>138</v>
      </c>
      <c r="K359" s="8">
        <v>45253</v>
      </c>
      <c r="L359" s="21">
        <v>4614.5</v>
      </c>
      <c r="M359" s="8">
        <v>45282</v>
      </c>
      <c r="N359" s="21">
        <v>4614.5</v>
      </c>
      <c r="O359" s="8"/>
      <c r="P359" s="21"/>
      <c r="Q359" s="8"/>
      <c r="R359" s="28"/>
    </row>
    <row r="360" spans="1:18">
      <c r="A360" s="1" t="s">
        <v>496</v>
      </c>
      <c r="B360" s="6" t="s">
        <v>16</v>
      </c>
      <c r="C360" s="7">
        <v>45061</v>
      </c>
      <c r="D360" s="25">
        <f t="shared" si="10"/>
        <v>5</v>
      </c>
      <c r="E360" s="25">
        <f t="shared" si="11"/>
        <v>2023</v>
      </c>
      <c r="F360" s="7" t="s">
        <v>65</v>
      </c>
      <c r="G360" s="4" t="s">
        <v>110</v>
      </c>
      <c r="H360" s="4" t="s">
        <v>125</v>
      </c>
      <c r="I360" s="9">
        <v>3522</v>
      </c>
      <c r="J360" s="9" t="s">
        <v>138</v>
      </c>
      <c r="K360" s="8">
        <v>45062</v>
      </c>
      <c r="L360" s="21">
        <v>1761</v>
      </c>
      <c r="M360" s="8">
        <v>45091</v>
      </c>
      <c r="N360" s="21">
        <v>1761</v>
      </c>
      <c r="O360" s="8"/>
      <c r="P360" s="21"/>
      <c r="Q360" s="8"/>
      <c r="R360" s="28"/>
    </row>
    <row r="361" spans="1:18">
      <c r="A361" s="1" t="s">
        <v>497</v>
      </c>
      <c r="B361" s="6" t="s">
        <v>44</v>
      </c>
      <c r="C361" s="7">
        <v>45479</v>
      </c>
      <c r="D361" s="25">
        <f t="shared" si="10"/>
        <v>7</v>
      </c>
      <c r="E361" s="25">
        <f t="shared" si="11"/>
        <v>2024</v>
      </c>
      <c r="F361" s="7" t="s">
        <v>93</v>
      </c>
      <c r="G361" s="4" t="s">
        <v>111</v>
      </c>
      <c r="H361" s="4" t="s">
        <v>119</v>
      </c>
      <c r="I361" s="9">
        <v>7682</v>
      </c>
      <c r="J361" s="9" t="s">
        <v>126</v>
      </c>
      <c r="K361" s="8">
        <v>45480</v>
      </c>
      <c r="L361" s="21">
        <v>7682</v>
      </c>
      <c r="M361" s="8"/>
      <c r="N361" s="21"/>
      <c r="O361" s="8"/>
      <c r="P361" s="21"/>
      <c r="Q361" s="8"/>
      <c r="R361" s="28"/>
    </row>
    <row r="362" spans="1:18">
      <c r="A362" s="1" t="s">
        <v>498</v>
      </c>
      <c r="B362" s="6" t="s">
        <v>45</v>
      </c>
      <c r="C362" s="7">
        <v>45302</v>
      </c>
      <c r="D362" s="25">
        <f t="shared" si="10"/>
        <v>1</v>
      </c>
      <c r="E362" s="25">
        <f t="shared" si="11"/>
        <v>2024</v>
      </c>
      <c r="F362" s="7" t="s">
        <v>94</v>
      </c>
      <c r="G362" s="4" t="s">
        <v>110</v>
      </c>
      <c r="H362" s="4" t="s">
        <v>113</v>
      </c>
      <c r="I362" s="9">
        <v>1237</v>
      </c>
      <c r="J362" s="9" t="s">
        <v>138</v>
      </c>
      <c r="K362" s="8">
        <v>45303</v>
      </c>
      <c r="L362" s="21">
        <v>618.5</v>
      </c>
      <c r="M362" s="8">
        <v>45332</v>
      </c>
      <c r="N362" s="21">
        <v>618.5</v>
      </c>
      <c r="O362" s="8"/>
      <c r="P362" s="21"/>
      <c r="Q362" s="8"/>
      <c r="R362" s="28"/>
    </row>
    <row r="363" spans="1:18">
      <c r="A363" s="1" t="s">
        <v>499</v>
      </c>
      <c r="B363" s="6" t="s">
        <v>33</v>
      </c>
      <c r="C363" s="7">
        <v>45313</v>
      </c>
      <c r="D363" s="25">
        <f t="shared" si="10"/>
        <v>1</v>
      </c>
      <c r="E363" s="25">
        <f t="shared" si="11"/>
        <v>2024</v>
      </c>
      <c r="F363" s="7" t="s">
        <v>82</v>
      </c>
      <c r="G363" s="4" t="s">
        <v>111</v>
      </c>
      <c r="H363" s="4" t="s">
        <v>119</v>
      </c>
      <c r="I363" s="9">
        <v>6432</v>
      </c>
      <c r="J363" s="9" t="s">
        <v>136</v>
      </c>
      <c r="K363" s="8">
        <v>45314</v>
      </c>
      <c r="L363" s="21">
        <v>1608</v>
      </c>
      <c r="M363" s="8">
        <v>45343</v>
      </c>
      <c r="N363" s="21">
        <v>1608</v>
      </c>
      <c r="O363" s="8">
        <v>45358</v>
      </c>
      <c r="P363" s="21">
        <v>1608</v>
      </c>
      <c r="Q363" s="8">
        <v>45373</v>
      </c>
      <c r="R363" s="28">
        <v>1608</v>
      </c>
    </row>
    <row r="364" spans="1:18">
      <c r="A364" s="1" t="s">
        <v>500</v>
      </c>
      <c r="B364" s="6" t="s">
        <v>52</v>
      </c>
      <c r="C364" s="7">
        <v>45357</v>
      </c>
      <c r="D364" s="25">
        <f t="shared" si="10"/>
        <v>3</v>
      </c>
      <c r="E364" s="25">
        <f t="shared" si="11"/>
        <v>2024</v>
      </c>
      <c r="F364" s="7" t="s">
        <v>101</v>
      </c>
      <c r="G364" s="4" t="s">
        <v>111</v>
      </c>
      <c r="H364" s="4" t="s">
        <v>118</v>
      </c>
      <c r="I364" s="9">
        <v>3676</v>
      </c>
      <c r="J364" s="9" t="s">
        <v>137</v>
      </c>
      <c r="K364" s="8">
        <v>45358</v>
      </c>
      <c r="L364" s="21">
        <v>1225.3333333333333</v>
      </c>
      <c r="M364" s="8">
        <v>45387</v>
      </c>
      <c r="N364" s="21">
        <v>1225.3333333333333</v>
      </c>
      <c r="O364" s="8">
        <v>45402</v>
      </c>
      <c r="P364" s="21">
        <v>1225.3333333333333</v>
      </c>
      <c r="Q364" s="8"/>
      <c r="R364" s="28"/>
    </row>
    <row r="365" spans="1:18">
      <c r="A365" s="1" t="s">
        <v>501</v>
      </c>
      <c r="B365" s="6" t="s">
        <v>55</v>
      </c>
      <c r="C365" s="7">
        <v>45550</v>
      </c>
      <c r="D365" s="25">
        <f t="shared" si="10"/>
        <v>9</v>
      </c>
      <c r="E365" s="25">
        <f t="shared" si="11"/>
        <v>2024</v>
      </c>
      <c r="F365" s="7" t="s">
        <v>104</v>
      </c>
      <c r="G365" s="4" t="s">
        <v>111</v>
      </c>
      <c r="H365" s="4" t="s">
        <v>119</v>
      </c>
      <c r="I365" s="9">
        <v>2707</v>
      </c>
      <c r="J365" s="9" t="s">
        <v>136</v>
      </c>
      <c r="K365" s="8">
        <v>45551</v>
      </c>
      <c r="L365" s="21">
        <v>676.75</v>
      </c>
      <c r="M365" s="8">
        <v>45580</v>
      </c>
      <c r="N365" s="21">
        <v>676.75</v>
      </c>
      <c r="O365" s="8">
        <v>45595</v>
      </c>
      <c r="P365" s="21">
        <v>676.75</v>
      </c>
      <c r="Q365" s="8">
        <v>45610</v>
      </c>
      <c r="R365" s="28">
        <v>676.75</v>
      </c>
    </row>
    <row r="366" spans="1:18">
      <c r="A366" s="1" t="s">
        <v>502</v>
      </c>
      <c r="B366" s="6" t="s">
        <v>47</v>
      </c>
      <c r="C366" s="7">
        <v>45153</v>
      </c>
      <c r="D366" s="25">
        <f t="shared" si="10"/>
        <v>8</v>
      </c>
      <c r="E366" s="25">
        <f t="shared" si="11"/>
        <v>2023</v>
      </c>
      <c r="F366" s="7" t="s">
        <v>96</v>
      </c>
      <c r="G366" s="4" t="s">
        <v>111</v>
      </c>
      <c r="H366" s="4" t="s">
        <v>120</v>
      </c>
      <c r="I366" s="9">
        <v>4611</v>
      </c>
      <c r="J366" s="9" t="s">
        <v>136</v>
      </c>
      <c r="K366" s="8">
        <v>45154</v>
      </c>
      <c r="L366" s="21">
        <v>1152.75</v>
      </c>
      <c r="M366" s="8">
        <v>45183</v>
      </c>
      <c r="N366" s="21">
        <v>1152.75</v>
      </c>
      <c r="O366" s="8">
        <v>45198</v>
      </c>
      <c r="P366" s="21">
        <v>1152.75</v>
      </c>
      <c r="Q366" s="8">
        <v>45213</v>
      </c>
      <c r="R366" s="28">
        <v>1152.75</v>
      </c>
    </row>
    <row r="367" spans="1:18">
      <c r="A367" s="1" t="s">
        <v>503</v>
      </c>
      <c r="B367" s="6" t="s">
        <v>57</v>
      </c>
      <c r="C367" s="7">
        <v>45503</v>
      </c>
      <c r="D367" s="25">
        <f t="shared" si="10"/>
        <v>7</v>
      </c>
      <c r="E367" s="25">
        <f t="shared" si="11"/>
        <v>2024</v>
      </c>
      <c r="F367" s="7" t="s">
        <v>106</v>
      </c>
      <c r="G367" s="4" t="s">
        <v>112</v>
      </c>
      <c r="H367" s="4" t="s">
        <v>122</v>
      </c>
      <c r="I367" s="9">
        <v>7421</v>
      </c>
      <c r="J367" s="9" t="s">
        <v>126</v>
      </c>
      <c r="K367" s="8">
        <v>45504</v>
      </c>
      <c r="L367" s="21">
        <v>7421</v>
      </c>
      <c r="M367" s="8"/>
      <c r="N367" s="21"/>
      <c r="O367" s="8"/>
      <c r="P367" s="21"/>
      <c r="Q367" s="8"/>
      <c r="R367" s="28"/>
    </row>
    <row r="368" spans="1:18">
      <c r="A368" s="1" t="s">
        <v>504</v>
      </c>
      <c r="B368" s="6" t="s">
        <v>34</v>
      </c>
      <c r="C368" s="7">
        <v>45194</v>
      </c>
      <c r="D368" s="25">
        <f t="shared" si="10"/>
        <v>9</v>
      </c>
      <c r="E368" s="25">
        <f t="shared" si="11"/>
        <v>2023</v>
      </c>
      <c r="F368" s="7" t="s">
        <v>83</v>
      </c>
      <c r="G368" s="4" t="s">
        <v>110</v>
      </c>
      <c r="H368" s="4" t="s">
        <v>113</v>
      </c>
      <c r="I368" s="9">
        <v>9599</v>
      </c>
      <c r="J368" s="9" t="s">
        <v>126</v>
      </c>
      <c r="K368" s="8">
        <v>45195</v>
      </c>
      <c r="L368" s="21">
        <v>9599</v>
      </c>
      <c r="M368" s="8"/>
      <c r="N368" s="21"/>
      <c r="O368" s="8"/>
      <c r="P368" s="21"/>
      <c r="Q368" s="8"/>
      <c r="R368" s="28"/>
    </row>
    <row r="369" spans="1:18">
      <c r="A369" s="1" t="s">
        <v>505</v>
      </c>
      <c r="B369" s="6" t="s">
        <v>13</v>
      </c>
      <c r="C369" s="7">
        <v>45314</v>
      </c>
      <c r="D369" s="25">
        <f t="shared" si="10"/>
        <v>1</v>
      </c>
      <c r="E369" s="25">
        <f t="shared" si="11"/>
        <v>2024</v>
      </c>
      <c r="F369" s="7" t="s">
        <v>63</v>
      </c>
      <c r="G369" s="4" t="s">
        <v>111</v>
      </c>
      <c r="H369" s="4" t="s">
        <v>120</v>
      </c>
      <c r="I369" s="9">
        <v>5255</v>
      </c>
      <c r="J369" s="9" t="s">
        <v>138</v>
      </c>
      <c r="K369" s="8">
        <v>45315</v>
      </c>
      <c r="L369" s="21">
        <v>2627.5</v>
      </c>
      <c r="M369" s="8">
        <v>45344</v>
      </c>
      <c r="N369" s="21">
        <v>2627.5</v>
      </c>
      <c r="O369" s="8"/>
      <c r="P369" s="21"/>
      <c r="Q369" s="8"/>
      <c r="R369" s="28"/>
    </row>
    <row r="370" spans="1:18">
      <c r="A370" s="1" t="s">
        <v>506</v>
      </c>
      <c r="B370" s="6" t="s">
        <v>34</v>
      </c>
      <c r="C370" s="7">
        <v>45164</v>
      </c>
      <c r="D370" s="25">
        <f t="shared" si="10"/>
        <v>8</v>
      </c>
      <c r="E370" s="25">
        <f t="shared" si="11"/>
        <v>2023</v>
      </c>
      <c r="F370" s="7" t="s">
        <v>83</v>
      </c>
      <c r="G370" s="4" t="s">
        <v>110</v>
      </c>
      <c r="H370" s="4" t="s">
        <v>113</v>
      </c>
      <c r="I370" s="9">
        <v>3320</v>
      </c>
      <c r="J370" s="9" t="s">
        <v>137</v>
      </c>
      <c r="K370" s="8">
        <v>45165</v>
      </c>
      <c r="L370" s="21">
        <v>1106.6666666666667</v>
      </c>
      <c r="M370" s="8">
        <v>45194</v>
      </c>
      <c r="N370" s="21">
        <v>1106.6666666666667</v>
      </c>
      <c r="O370" s="8">
        <v>45209</v>
      </c>
      <c r="P370" s="21">
        <v>1106.6666666666667</v>
      </c>
      <c r="Q370" s="8"/>
      <c r="R370" s="28"/>
    </row>
    <row r="371" spans="1:18">
      <c r="A371" s="1" t="s">
        <v>507</v>
      </c>
      <c r="B371" s="6" t="s">
        <v>45</v>
      </c>
      <c r="C371" s="7">
        <v>45041</v>
      </c>
      <c r="D371" s="25">
        <f t="shared" si="10"/>
        <v>4</v>
      </c>
      <c r="E371" s="25">
        <f t="shared" si="11"/>
        <v>2023</v>
      </c>
      <c r="F371" s="7" t="s">
        <v>94</v>
      </c>
      <c r="G371" s="4" t="s">
        <v>110</v>
      </c>
      <c r="H371" s="4" t="s">
        <v>113</v>
      </c>
      <c r="I371" s="9">
        <v>7447</v>
      </c>
      <c r="J371" s="9" t="s">
        <v>126</v>
      </c>
      <c r="K371" s="8">
        <v>45042</v>
      </c>
      <c r="L371" s="21">
        <v>7447</v>
      </c>
      <c r="M371" s="8"/>
      <c r="N371" s="21"/>
      <c r="O371" s="8"/>
      <c r="P371" s="21"/>
      <c r="Q371" s="8"/>
      <c r="R371" s="28"/>
    </row>
    <row r="372" spans="1:18">
      <c r="A372" s="1" t="s">
        <v>508</v>
      </c>
      <c r="B372" s="6" t="s">
        <v>48</v>
      </c>
      <c r="C372" s="7">
        <v>45516</v>
      </c>
      <c r="D372" s="25">
        <f t="shared" si="10"/>
        <v>8</v>
      </c>
      <c r="E372" s="25">
        <f t="shared" si="11"/>
        <v>2024</v>
      </c>
      <c r="F372" s="7" t="s">
        <v>97</v>
      </c>
      <c r="G372" s="4" t="s">
        <v>112</v>
      </c>
      <c r="H372" s="4" t="s">
        <v>123</v>
      </c>
      <c r="I372" s="9">
        <v>3383</v>
      </c>
      <c r="J372" s="9" t="s">
        <v>126</v>
      </c>
      <c r="K372" s="8">
        <v>45517</v>
      </c>
      <c r="L372" s="21">
        <v>3383</v>
      </c>
      <c r="M372" s="8"/>
      <c r="N372" s="21"/>
      <c r="O372" s="8"/>
      <c r="P372" s="21"/>
      <c r="Q372" s="8"/>
      <c r="R372" s="28"/>
    </row>
    <row r="373" spans="1:18">
      <c r="A373" s="1" t="s">
        <v>509</v>
      </c>
      <c r="B373" s="6" t="s">
        <v>16</v>
      </c>
      <c r="C373" s="7">
        <v>45319</v>
      </c>
      <c r="D373" s="25">
        <f t="shared" si="10"/>
        <v>1</v>
      </c>
      <c r="E373" s="25">
        <f t="shared" si="11"/>
        <v>2024</v>
      </c>
      <c r="F373" s="7" t="s">
        <v>65</v>
      </c>
      <c r="G373" s="4" t="s">
        <v>110</v>
      </c>
      <c r="H373" s="4" t="s">
        <v>125</v>
      </c>
      <c r="I373" s="9">
        <v>4137</v>
      </c>
      <c r="J373" s="9" t="s">
        <v>136</v>
      </c>
      <c r="K373" s="8">
        <v>45320</v>
      </c>
      <c r="L373" s="21">
        <v>1034.25</v>
      </c>
      <c r="M373" s="8">
        <v>45349</v>
      </c>
      <c r="N373" s="21">
        <v>1034.25</v>
      </c>
      <c r="O373" s="8">
        <v>45364</v>
      </c>
      <c r="P373" s="21">
        <v>1034.25</v>
      </c>
      <c r="Q373" s="8">
        <v>45379</v>
      </c>
      <c r="R373" s="28">
        <v>1034.25</v>
      </c>
    </row>
    <row r="374" spans="1:18">
      <c r="A374" s="1" t="s">
        <v>510</v>
      </c>
      <c r="B374" s="6" t="s">
        <v>17</v>
      </c>
      <c r="C374" s="7">
        <v>45095</v>
      </c>
      <c r="D374" s="25">
        <f t="shared" si="10"/>
        <v>6</v>
      </c>
      <c r="E374" s="25">
        <f t="shared" si="11"/>
        <v>2023</v>
      </c>
      <c r="F374" s="7" t="s">
        <v>66</v>
      </c>
      <c r="G374" s="4" t="s">
        <v>110</v>
      </c>
      <c r="H374" s="4" t="s">
        <v>114</v>
      </c>
      <c r="I374" s="9">
        <v>9391</v>
      </c>
      <c r="J374" s="9" t="s">
        <v>126</v>
      </c>
      <c r="K374" s="8">
        <v>45096</v>
      </c>
      <c r="L374" s="21">
        <v>9391</v>
      </c>
      <c r="M374" s="8"/>
      <c r="N374" s="21"/>
      <c r="O374" s="8"/>
      <c r="P374" s="21"/>
      <c r="Q374" s="8"/>
      <c r="R374" s="28"/>
    </row>
    <row r="375" spans="1:18">
      <c r="A375" s="1" t="s">
        <v>511</v>
      </c>
      <c r="B375" s="6" t="s">
        <v>12</v>
      </c>
      <c r="C375" s="7">
        <v>45061</v>
      </c>
      <c r="D375" s="25">
        <f t="shared" si="10"/>
        <v>5</v>
      </c>
      <c r="E375" s="25">
        <f t="shared" si="11"/>
        <v>2023</v>
      </c>
      <c r="F375" s="7" t="s">
        <v>62</v>
      </c>
      <c r="G375" s="4" t="s">
        <v>112</v>
      </c>
      <c r="H375" s="4" t="s">
        <v>122</v>
      </c>
      <c r="I375" s="9">
        <v>8548</v>
      </c>
      <c r="J375" s="9" t="s">
        <v>126</v>
      </c>
      <c r="K375" s="8">
        <v>45062</v>
      </c>
      <c r="L375" s="21">
        <v>8548</v>
      </c>
      <c r="M375" s="8"/>
      <c r="N375" s="21"/>
      <c r="O375" s="8"/>
      <c r="P375" s="21"/>
      <c r="Q375" s="8"/>
      <c r="R375" s="28"/>
    </row>
    <row r="376" spans="1:18">
      <c r="A376" s="1" t="s">
        <v>512</v>
      </c>
      <c r="B376" s="6" t="s">
        <v>57</v>
      </c>
      <c r="C376" s="7">
        <v>45122</v>
      </c>
      <c r="D376" s="25">
        <f t="shared" si="10"/>
        <v>7</v>
      </c>
      <c r="E376" s="25">
        <f t="shared" si="11"/>
        <v>2023</v>
      </c>
      <c r="F376" s="7" t="s">
        <v>106</v>
      </c>
      <c r="G376" s="4" t="s">
        <v>112</v>
      </c>
      <c r="H376" s="4" t="s">
        <v>122</v>
      </c>
      <c r="I376" s="9">
        <v>8952</v>
      </c>
      <c r="J376" s="9" t="s">
        <v>126</v>
      </c>
      <c r="K376" s="8">
        <v>45123</v>
      </c>
      <c r="L376" s="21">
        <v>8952</v>
      </c>
      <c r="M376" s="8"/>
      <c r="N376" s="21"/>
      <c r="O376" s="8"/>
      <c r="P376" s="21"/>
      <c r="Q376" s="8"/>
      <c r="R376" s="28"/>
    </row>
    <row r="377" spans="1:18">
      <c r="A377" s="1" t="s">
        <v>513</v>
      </c>
      <c r="B377" s="6" t="s">
        <v>50</v>
      </c>
      <c r="C377" s="7">
        <v>45364</v>
      </c>
      <c r="D377" s="25">
        <f t="shared" si="10"/>
        <v>3</v>
      </c>
      <c r="E377" s="25">
        <f t="shared" si="11"/>
        <v>2024</v>
      </c>
      <c r="F377" s="7" t="s">
        <v>99</v>
      </c>
      <c r="G377" s="4" t="s">
        <v>110</v>
      </c>
      <c r="H377" s="4" t="s">
        <v>114</v>
      </c>
      <c r="I377" s="9">
        <v>2638</v>
      </c>
      <c r="J377" s="9" t="s">
        <v>136</v>
      </c>
      <c r="K377" s="8">
        <v>45365</v>
      </c>
      <c r="L377" s="21">
        <v>659.5</v>
      </c>
      <c r="M377" s="8">
        <v>45394</v>
      </c>
      <c r="N377" s="21">
        <v>659.5</v>
      </c>
      <c r="O377" s="8">
        <v>45409</v>
      </c>
      <c r="P377" s="21">
        <v>659.5</v>
      </c>
      <c r="Q377" s="8">
        <v>45424</v>
      </c>
      <c r="R377" s="28">
        <v>659.5</v>
      </c>
    </row>
    <row r="378" spans="1:18">
      <c r="A378" s="1" t="s">
        <v>514</v>
      </c>
      <c r="B378" s="6" t="s">
        <v>36</v>
      </c>
      <c r="C378" s="7">
        <v>45218</v>
      </c>
      <c r="D378" s="25">
        <f t="shared" si="10"/>
        <v>10</v>
      </c>
      <c r="E378" s="25">
        <f t="shared" si="11"/>
        <v>2023</v>
      </c>
      <c r="F378" s="7" t="s">
        <v>85</v>
      </c>
      <c r="G378" s="4" t="s">
        <v>111</v>
      </c>
      <c r="H378" s="4" t="s">
        <v>120</v>
      </c>
      <c r="I378" s="9">
        <v>5176</v>
      </c>
      <c r="J378" s="9" t="s">
        <v>138</v>
      </c>
      <c r="K378" s="8">
        <v>45219</v>
      </c>
      <c r="L378" s="21">
        <v>2588</v>
      </c>
      <c r="M378" s="8">
        <v>45248</v>
      </c>
      <c r="N378" s="21">
        <v>2588</v>
      </c>
      <c r="O378" s="8"/>
      <c r="P378" s="21"/>
      <c r="Q378" s="8"/>
      <c r="R378" s="28"/>
    </row>
    <row r="379" spans="1:18">
      <c r="A379" s="1" t="s">
        <v>515</v>
      </c>
      <c r="B379" s="6" t="s">
        <v>12</v>
      </c>
      <c r="C379" s="7">
        <v>45145</v>
      </c>
      <c r="D379" s="25">
        <f t="shared" si="10"/>
        <v>8</v>
      </c>
      <c r="E379" s="25">
        <f t="shared" si="11"/>
        <v>2023</v>
      </c>
      <c r="F379" s="7" t="s">
        <v>62</v>
      </c>
      <c r="G379" s="4" t="s">
        <v>112</v>
      </c>
      <c r="H379" s="4" t="s">
        <v>122</v>
      </c>
      <c r="I379" s="9">
        <v>7900</v>
      </c>
      <c r="J379" s="9" t="s">
        <v>126</v>
      </c>
      <c r="K379" s="8">
        <v>45146</v>
      </c>
      <c r="L379" s="21">
        <v>7900</v>
      </c>
      <c r="M379" s="8"/>
      <c r="N379" s="21"/>
      <c r="O379" s="8"/>
      <c r="P379" s="21"/>
      <c r="Q379" s="8"/>
      <c r="R379" s="28"/>
    </row>
    <row r="380" spans="1:18">
      <c r="A380" s="1" t="s">
        <v>516</v>
      </c>
      <c r="B380" s="6" t="s">
        <v>42</v>
      </c>
      <c r="C380" s="7">
        <v>45159</v>
      </c>
      <c r="D380" s="25">
        <f t="shared" si="10"/>
        <v>8</v>
      </c>
      <c r="E380" s="25">
        <f t="shared" si="11"/>
        <v>2023</v>
      </c>
      <c r="F380" s="7" t="s">
        <v>91</v>
      </c>
      <c r="G380" s="4" t="s">
        <v>111</v>
      </c>
      <c r="H380" s="4" t="s">
        <v>117</v>
      </c>
      <c r="I380" s="9">
        <v>7627</v>
      </c>
      <c r="J380" s="9" t="s">
        <v>137</v>
      </c>
      <c r="K380" s="8">
        <v>45160</v>
      </c>
      <c r="L380" s="21">
        <v>2542.3333333333335</v>
      </c>
      <c r="M380" s="8">
        <v>45189</v>
      </c>
      <c r="N380" s="21">
        <v>2542.3333333333335</v>
      </c>
      <c r="O380" s="8">
        <v>45204</v>
      </c>
      <c r="P380" s="21">
        <v>2542.3333333333335</v>
      </c>
      <c r="Q380" s="8"/>
      <c r="R380" s="28"/>
    </row>
    <row r="381" spans="1:18">
      <c r="A381" s="1" t="s">
        <v>517</v>
      </c>
      <c r="B381" s="6" t="s">
        <v>57</v>
      </c>
      <c r="C381" s="7">
        <v>45283</v>
      </c>
      <c r="D381" s="25">
        <f t="shared" si="10"/>
        <v>12</v>
      </c>
      <c r="E381" s="25">
        <f t="shared" si="11"/>
        <v>2023</v>
      </c>
      <c r="F381" s="7" t="s">
        <v>106</v>
      </c>
      <c r="G381" s="4" t="s">
        <v>112</v>
      </c>
      <c r="H381" s="4" t="s">
        <v>122</v>
      </c>
      <c r="I381" s="9">
        <v>1758</v>
      </c>
      <c r="J381" s="9" t="s">
        <v>126</v>
      </c>
      <c r="K381" s="8">
        <v>45284</v>
      </c>
      <c r="L381" s="21">
        <v>1758</v>
      </c>
      <c r="M381" s="8"/>
      <c r="N381" s="21"/>
      <c r="O381" s="8"/>
      <c r="P381" s="21"/>
      <c r="Q381" s="8"/>
      <c r="R381" s="28"/>
    </row>
    <row r="382" spans="1:18">
      <c r="A382" s="1" t="s">
        <v>518</v>
      </c>
      <c r="B382" s="6" t="s">
        <v>48</v>
      </c>
      <c r="C382" s="7">
        <v>45297</v>
      </c>
      <c r="D382" s="25">
        <f t="shared" si="10"/>
        <v>1</v>
      </c>
      <c r="E382" s="25">
        <f t="shared" si="11"/>
        <v>2024</v>
      </c>
      <c r="F382" s="7" t="s">
        <v>97</v>
      </c>
      <c r="G382" s="4" t="s">
        <v>112</v>
      </c>
      <c r="H382" s="4" t="s">
        <v>123</v>
      </c>
      <c r="I382" s="9">
        <v>5753</v>
      </c>
      <c r="J382" s="9" t="s">
        <v>126</v>
      </c>
      <c r="K382" s="8">
        <v>45298</v>
      </c>
      <c r="L382" s="21">
        <v>5753</v>
      </c>
      <c r="M382" s="8"/>
      <c r="N382" s="21"/>
      <c r="O382" s="8"/>
      <c r="P382" s="21"/>
      <c r="Q382" s="8"/>
      <c r="R382" s="28"/>
    </row>
    <row r="383" spans="1:18">
      <c r="A383" s="1" t="s">
        <v>519</v>
      </c>
      <c r="B383" s="6" t="s">
        <v>52</v>
      </c>
      <c r="C383" s="7">
        <v>45398</v>
      </c>
      <c r="D383" s="25">
        <f t="shared" si="10"/>
        <v>4</v>
      </c>
      <c r="E383" s="25">
        <f t="shared" si="11"/>
        <v>2024</v>
      </c>
      <c r="F383" s="7" t="s">
        <v>101</v>
      </c>
      <c r="G383" s="4" t="s">
        <v>111</v>
      </c>
      <c r="H383" s="4" t="s">
        <v>118</v>
      </c>
      <c r="I383" s="9">
        <v>7056</v>
      </c>
      <c r="J383" s="9" t="s">
        <v>137</v>
      </c>
      <c r="K383" s="8">
        <v>45399</v>
      </c>
      <c r="L383" s="21">
        <v>2352</v>
      </c>
      <c r="M383" s="8">
        <v>45428</v>
      </c>
      <c r="N383" s="21">
        <v>2352</v>
      </c>
      <c r="O383" s="8">
        <v>45443</v>
      </c>
      <c r="P383" s="21">
        <v>2352</v>
      </c>
      <c r="Q383" s="8"/>
      <c r="R383" s="28"/>
    </row>
    <row r="384" spans="1:18">
      <c r="A384" s="1" t="s">
        <v>520</v>
      </c>
      <c r="B384" s="6" t="s">
        <v>35</v>
      </c>
      <c r="C384" s="7">
        <v>45551</v>
      </c>
      <c r="D384" s="25">
        <f t="shared" si="10"/>
        <v>9</v>
      </c>
      <c r="E384" s="25">
        <f t="shared" si="11"/>
        <v>2024</v>
      </c>
      <c r="F384" s="7" t="s">
        <v>84</v>
      </c>
      <c r="G384" s="4" t="s">
        <v>112</v>
      </c>
      <c r="H384" s="4" t="s">
        <v>122</v>
      </c>
      <c r="I384" s="9">
        <v>2451</v>
      </c>
      <c r="J384" s="9" t="s">
        <v>126</v>
      </c>
      <c r="K384" s="8">
        <v>45552</v>
      </c>
      <c r="L384" s="21">
        <v>2451</v>
      </c>
      <c r="M384" s="8"/>
      <c r="N384" s="21"/>
      <c r="O384" s="8"/>
      <c r="P384" s="21"/>
      <c r="Q384" s="8"/>
      <c r="R384" s="28"/>
    </row>
    <row r="385" spans="1:18">
      <c r="A385" s="1" t="s">
        <v>521</v>
      </c>
      <c r="B385" s="6" t="s">
        <v>41</v>
      </c>
      <c r="C385" s="7">
        <v>45276</v>
      </c>
      <c r="D385" s="25">
        <f t="shared" si="10"/>
        <v>12</v>
      </c>
      <c r="E385" s="25">
        <f t="shared" si="11"/>
        <v>2023</v>
      </c>
      <c r="F385" s="7" t="s">
        <v>90</v>
      </c>
      <c r="G385" s="4" t="s">
        <v>111</v>
      </c>
      <c r="H385" s="4" t="s">
        <v>118</v>
      </c>
      <c r="I385" s="9">
        <v>4909</v>
      </c>
      <c r="J385" s="9" t="s">
        <v>136</v>
      </c>
      <c r="K385" s="8">
        <v>45277</v>
      </c>
      <c r="L385" s="21">
        <v>1227.25</v>
      </c>
      <c r="M385" s="8">
        <v>45306</v>
      </c>
      <c r="N385" s="21">
        <v>1227.25</v>
      </c>
      <c r="O385" s="8">
        <v>45321</v>
      </c>
      <c r="P385" s="21">
        <v>1227.25</v>
      </c>
      <c r="Q385" s="8">
        <v>45336</v>
      </c>
      <c r="R385" s="28">
        <v>1227.25</v>
      </c>
    </row>
    <row r="386" spans="1:18">
      <c r="A386" s="1" t="s">
        <v>522</v>
      </c>
      <c r="B386" s="6" t="s">
        <v>39</v>
      </c>
      <c r="C386" s="7">
        <v>45300</v>
      </c>
      <c r="D386" s="25">
        <f t="shared" si="10"/>
        <v>1</v>
      </c>
      <c r="E386" s="25">
        <f t="shared" si="11"/>
        <v>2024</v>
      </c>
      <c r="F386" s="7" t="s">
        <v>88</v>
      </c>
      <c r="G386" s="4" t="s">
        <v>110</v>
      </c>
      <c r="H386" s="4" t="s">
        <v>114</v>
      </c>
      <c r="I386" s="9">
        <v>443</v>
      </c>
      <c r="J386" s="9" t="s">
        <v>137</v>
      </c>
      <c r="K386" s="8">
        <v>45301</v>
      </c>
      <c r="L386" s="21">
        <v>147.66666666666666</v>
      </c>
      <c r="M386" s="8">
        <v>45330</v>
      </c>
      <c r="N386" s="21">
        <v>147.66666666666666</v>
      </c>
      <c r="O386" s="8">
        <v>45345</v>
      </c>
      <c r="P386" s="21">
        <v>147.66666666666666</v>
      </c>
      <c r="Q386" s="8"/>
      <c r="R386" s="28"/>
    </row>
    <row r="387" spans="1:18">
      <c r="A387" s="1" t="s">
        <v>523</v>
      </c>
      <c r="B387" s="6" t="s">
        <v>37</v>
      </c>
      <c r="C387" s="7">
        <v>45370</v>
      </c>
      <c r="D387" s="25">
        <f t="shared" si="10"/>
        <v>3</v>
      </c>
      <c r="E387" s="25">
        <f t="shared" si="11"/>
        <v>2024</v>
      </c>
      <c r="F387" s="7" t="s">
        <v>86</v>
      </c>
      <c r="G387" s="4" t="s">
        <v>112</v>
      </c>
      <c r="H387" s="4" t="s">
        <v>123</v>
      </c>
      <c r="I387" s="9">
        <v>3426</v>
      </c>
      <c r="J387" s="9" t="s">
        <v>126</v>
      </c>
      <c r="K387" s="8">
        <v>45371</v>
      </c>
      <c r="L387" s="21">
        <v>3426</v>
      </c>
      <c r="M387" s="8"/>
      <c r="N387" s="21"/>
      <c r="O387" s="8"/>
      <c r="P387" s="21"/>
      <c r="Q387" s="8"/>
      <c r="R387" s="28"/>
    </row>
    <row r="388" spans="1:18">
      <c r="A388" s="1" t="s">
        <v>524</v>
      </c>
      <c r="B388" s="6" t="s">
        <v>32</v>
      </c>
      <c r="C388" s="7">
        <v>45203</v>
      </c>
      <c r="D388" s="25">
        <f t="shared" ref="D388:D451" si="12">MONTH(C388)</f>
        <v>10</v>
      </c>
      <c r="E388" s="25">
        <f t="shared" ref="E388:E451" si="13">YEAR(C388)</f>
        <v>2023</v>
      </c>
      <c r="F388" s="7" t="s">
        <v>81</v>
      </c>
      <c r="G388" s="4" t="s">
        <v>110</v>
      </c>
      <c r="H388" s="4" t="s">
        <v>124</v>
      </c>
      <c r="I388" s="9">
        <v>6332</v>
      </c>
      <c r="J388" s="9" t="s">
        <v>138</v>
      </c>
      <c r="K388" s="8">
        <v>45204</v>
      </c>
      <c r="L388" s="21">
        <v>3166</v>
      </c>
      <c r="M388" s="8">
        <v>45233</v>
      </c>
      <c r="N388" s="21">
        <v>3166</v>
      </c>
      <c r="O388" s="8"/>
      <c r="P388" s="21"/>
      <c r="Q388" s="8"/>
      <c r="R388" s="28"/>
    </row>
    <row r="389" spans="1:18">
      <c r="A389" s="1" t="s">
        <v>525</v>
      </c>
      <c r="B389" s="6" t="s">
        <v>18</v>
      </c>
      <c r="C389" s="7">
        <v>45124</v>
      </c>
      <c r="D389" s="25">
        <f t="shared" si="12"/>
        <v>7</v>
      </c>
      <c r="E389" s="25">
        <f t="shared" si="13"/>
        <v>2023</v>
      </c>
      <c r="F389" s="7" t="s">
        <v>67</v>
      </c>
      <c r="G389" s="4" t="s">
        <v>111</v>
      </c>
      <c r="H389" s="4" t="s">
        <v>121</v>
      </c>
      <c r="I389" s="9">
        <v>3681</v>
      </c>
      <c r="J389" s="9" t="s">
        <v>126</v>
      </c>
      <c r="K389" s="8">
        <v>45125</v>
      </c>
      <c r="L389" s="21">
        <v>3681</v>
      </c>
      <c r="M389" s="8"/>
      <c r="N389" s="21"/>
      <c r="O389" s="8"/>
      <c r="P389" s="21"/>
      <c r="Q389" s="8"/>
      <c r="R389" s="28"/>
    </row>
    <row r="390" spans="1:18">
      <c r="A390" s="1" t="s">
        <v>526</v>
      </c>
      <c r="B390" s="6" t="s">
        <v>59</v>
      </c>
      <c r="C390" s="7">
        <v>45303</v>
      </c>
      <c r="D390" s="25">
        <f t="shared" si="12"/>
        <v>1</v>
      </c>
      <c r="E390" s="25">
        <f t="shared" si="13"/>
        <v>2024</v>
      </c>
      <c r="F390" s="7" t="s">
        <v>108</v>
      </c>
      <c r="G390" s="4" t="s">
        <v>111</v>
      </c>
      <c r="H390" s="4" t="s">
        <v>121</v>
      </c>
      <c r="I390" s="9">
        <v>5515</v>
      </c>
      <c r="J390" s="9" t="s">
        <v>136</v>
      </c>
      <c r="K390" s="8">
        <v>45304</v>
      </c>
      <c r="L390" s="21">
        <v>1378.75</v>
      </c>
      <c r="M390" s="8">
        <v>45333</v>
      </c>
      <c r="N390" s="21">
        <v>1378.75</v>
      </c>
      <c r="O390" s="8">
        <v>45348</v>
      </c>
      <c r="P390" s="21">
        <v>1378.75</v>
      </c>
      <c r="Q390" s="8">
        <v>45363</v>
      </c>
      <c r="R390" s="28">
        <v>1378.75</v>
      </c>
    </row>
    <row r="391" spans="1:18">
      <c r="A391" s="1" t="s">
        <v>527</v>
      </c>
      <c r="B391" s="6" t="s">
        <v>30</v>
      </c>
      <c r="C391" s="7">
        <v>45285</v>
      </c>
      <c r="D391" s="25">
        <f t="shared" si="12"/>
        <v>12</v>
      </c>
      <c r="E391" s="25">
        <f t="shared" si="13"/>
        <v>2023</v>
      </c>
      <c r="F391" s="7" t="s">
        <v>79</v>
      </c>
      <c r="G391" s="4" t="s">
        <v>111</v>
      </c>
      <c r="H391" s="4" t="s">
        <v>118</v>
      </c>
      <c r="I391" s="9">
        <v>2110</v>
      </c>
      <c r="J391" s="9" t="s">
        <v>137</v>
      </c>
      <c r="K391" s="8">
        <v>45286</v>
      </c>
      <c r="L391" s="21">
        <v>703.33333333333337</v>
      </c>
      <c r="M391" s="8">
        <v>45315</v>
      </c>
      <c r="N391" s="21">
        <v>703.33333333333337</v>
      </c>
      <c r="O391" s="8">
        <v>45330</v>
      </c>
      <c r="P391" s="21">
        <v>703.33333333333337</v>
      </c>
      <c r="Q391" s="8"/>
      <c r="R391" s="28"/>
    </row>
    <row r="392" spans="1:18">
      <c r="A392" s="1" t="s">
        <v>528</v>
      </c>
      <c r="B392" s="6" t="s">
        <v>28</v>
      </c>
      <c r="C392" s="7">
        <v>45369</v>
      </c>
      <c r="D392" s="25">
        <f t="shared" si="12"/>
        <v>3</v>
      </c>
      <c r="E392" s="25">
        <f t="shared" si="13"/>
        <v>2024</v>
      </c>
      <c r="F392" s="7" t="s">
        <v>77</v>
      </c>
      <c r="G392" s="4" t="s">
        <v>110</v>
      </c>
      <c r="H392" s="4" t="s">
        <v>114</v>
      </c>
      <c r="I392" s="9">
        <v>3168</v>
      </c>
      <c r="J392" s="9" t="s">
        <v>137</v>
      </c>
      <c r="K392" s="8">
        <v>45370</v>
      </c>
      <c r="L392" s="21">
        <v>1056</v>
      </c>
      <c r="M392" s="8">
        <v>45399</v>
      </c>
      <c r="N392" s="21">
        <v>1056</v>
      </c>
      <c r="O392" s="8">
        <v>45414</v>
      </c>
      <c r="P392" s="21">
        <v>1056</v>
      </c>
      <c r="Q392" s="8"/>
      <c r="R392" s="28"/>
    </row>
    <row r="393" spans="1:18">
      <c r="A393" s="1" t="s">
        <v>529</v>
      </c>
      <c r="B393" s="6" t="s">
        <v>18</v>
      </c>
      <c r="C393" s="7">
        <v>45320</v>
      </c>
      <c r="D393" s="25">
        <f t="shared" si="12"/>
        <v>1</v>
      </c>
      <c r="E393" s="25">
        <f t="shared" si="13"/>
        <v>2024</v>
      </c>
      <c r="F393" s="7" t="s">
        <v>67</v>
      </c>
      <c r="G393" s="4" t="s">
        <v>111</v>
      </c>
      <c r="H393" s="4" t="s">
        <v>121</v>
      </c>
      <c r="I393" s="9">
        <v>2393</v>
      </c>
      <c r="J393" s="9" t="s">
        <v>138</v>
      </c>
      <c r="K393" s="8">
        <v>45321</v>
      </c>
      <c r="L393" s="21">
        <v>1196.5</v>
      </c>
      <c r="M393" s="8">
        <v>45350</v>
      </c>
      <c r="N393" s="21">
        <v>1196.5</v>
      </c>
      <c r="O393" s="8"/>
      <c r="P393" s="21"/>
      <c r="Q393" s="8"/>
      <c r="R393" s="28"/>
    </row>
    <row r="394" spans="1:18">
      <c r="A394" s="1" t="s">
        <v>530</v>
      </c>
      <c r="B394" s="6" t="s">
        <v>32</v>
      </c>
      <c r="C394" s="7">
        <v>45197</v>
      </c>
      <c r="D394" s="25">
        <f t="shared" si="12"/>
        <v>9</v>
      </c>
      <c r="E394" s="25">
        <f t="shared" si="13"/>
        <v>2023</v>
      </c>
      <c r="F394" s="7" t="s">
        <v>81</v>
      </c>
      <c r="G394" s="4" t="s">
        <v>110</v>
      </c>
      <c r="H394" s="4" t="s">
        <v>124</v>
      </c>
      <c r="I394" s="9">
        <v>7652</v>
      </c>
      <c r="J394" s="9" t="s">
        <v>137</v>
      </c>
      <c r="K394" s="8">
        <v>45198</v>
      </c>
      <c r="L394" s="21">
        <v>2550.6666666666665</v>
      </c>
      <c r="M394" s="8">
        <v>45227</v>
      </c>
      <c r="N394" s="21">
        <v>2550.6666666666665</v>
      </c>
      <c r="O394" s="8">
        <v>45242</v>
      </c>
      <c r="P394" s="21">
        <v>2550.6666666666665</v>
      </c>
      <c r="Q394" s="8"/>
      <c r="R394" s="28"/>
    </row>
    <row r="395" spans="1:18">
      <c r="A395" s="1" t="s">
        <v>531</v>
      </c>
      <c r="B395" s="6" t="s">
        <v>49</v>
      </c>
      <c r="C395" s="7">
        <v>45199</v>
      </c>
      <c r="D395" s="25">
        <f t="shared" si="12"/>
        <v>9</v>
      </c>
      <c r="E395" s="25">
        <f t="shared" si="13"/>
        <v>2023</v>
      </c>
      <c r="F395" s="7" t="s">
        <v>98</v>
      </c>
      <c r="G395" s="4" t="s">
        <v>110</v>
      </c>
      <c r="H395" s="4" t="s">
        <v>125</v>
      </c>
      <c r="I395" s="9">
        <v>4050</v>
      </c>
      <c r="J395" s="9" t="s">
        <v>136</v>
      </c>
      <c r="K395" s="8">
        <v>45200</v>
      </c>
      <c r="L395" s="21">
        <v>1012.5</v>
      </c>
      <c r="M395" s="8">
        <v>45229</v>
      </c>
      <c r="N395" s="21">
        <v>1012.5</v>
      </c>
      <c r="O395" s="8">
        <v>45244</v>
      </c>
      <c r="P395" s="21">
        <v>1012.5</v>
      </c>
      <c r="Q395" s="8">
        <v>45259</v>
      </c>
      <c r="R395" s="28">
        <v>1012.5</v>
      </c>
    </row>
    <row r="396" spans="1:18">
      <c r="A396" s="1" t="s">
        <v>532</v>
      </c>
      <c r="B396" s="6" t="s">
        <v>14</v>
      </c>
      <c r="C396" s="7">
        <v>45289</v>
      </c>
      <c r="D396" s="25">
        <f t="shared" si="12"/>
        <v>12</v>
      </c>
      <c r="E396" s="25">
        <f t="shared" si="13"/>
        <v>2023</v>
      </c>
      <c r="F396" s="7" t="s">
        <v>61</v>
      </c>
      <c r="G396" s="4" t="s">
        <v>110</v>
      </c>
      <c r="H396" s="4" t="s">
        <v>113</v>
      </c>
      <c r="I396" s="9">
        <v>2336</v>
      </c>
      <c r="J396" s="9" t="s">
        <v>136</v>
      </c>
      <c r="K396" s="8">
        <v>45290</v>
      </c>
      <c r="L396" s="21">
        <v>584</v>
      </c>
      <c r="M396" s="8">
        <v>45319</v>
      </c>
      <c r="N396" s="21">
        <v>584</v>
      </c>
      <c r="O396" s="8">
        <v>45334</v>
      </c>
      <c r="P396" s="21">
        <v>584</v>
      </c>
      <c r="Q396" s="8">
        <v>45349</v>
      </c>
      <c r="R396" s="28">
        <v>584</v>
      </c>
    </row>
    <row r="397" spans="1:18">
      <c r="A397" s="1" t="s">
        <v>533</v>
      </c>
      <c r="B397" s="6" t="s">
        <v>28</v>
      </c>
      <c r="C397" s="7">
        <v>45297</v>
      </c>
      <c r="D397" s="25">
        <f t="shared" si="12"/>
        <v>1</v>
      </c>
      <c r="E397" s="25">
        <f t="shared" si="13"/>
        <v>2024</v>
      </c>
      <c r="F397" s="7" t="s">
        <v>77</v>
      </c>
      <c r="G397" s="4" t="s">
        <v>110</v>
      </c>
      <c r="H397" s="4" t="s">
        <v>114</v>
      </c>
      <c r="I397" s="9">
        <v>3078</v>
      </c>
      <c r="J397" s="9" t="s">
        <v>138</v>
      </c>
      <c r="K397" s="8">
        <v>45298</v>
      </c>
      <c r="L397" s="21">
        <v>1539</v>
      </c>
      <c r="M397" s="8">
        <v>45327</v>
      </c>
      <c r="N397" s="21">
        <v>1539</v>
      </c>
      <c r="O397" s="8"/>
      <c r="P397" s="21"/>
      <c r="Q397" s="8"/>
      <c r="R397" s="28"/>
    </row>
    <row r="398" spans="1:18">
      <c r="A398" s="1" t="s">
        <v>534</v>
      </c>
      <c r="B398" s="6" t="s">
        <v>39</v>
      </c>
      <c r="C398" s="7">
        <v>45391</v>
      </c>
      <c r="D398" s="25">
        <f t="shared" si="12"/>
        <v>4</v>
      </c>
      <c r="E398" s="25">
        <f t="shared" si="13"/>
        <v>2024</v>
      </c>
      <c r="F398" s="7" t="s">
        <v>88</v>
      </c>
      <c r="G398" s="4" t="s">
        <v>110</v>
      </c>
      <c r="H398" s="4" t="s">
        <v>114</v>
      </c>
      <c r="I398" s="9">
        <v>1063</v>
      </c>
      <c r="J398" s="9" t="s">
        <v>138</v>
      </c>
      <c r="K398" s="8">
        <v>45392</v>
      </c>
      <c r="L398" s="21">
        <v>531.5</v>
      </c>
      <c r="M398" s="8">
        <v>45421</v>
      </c>
      <c r="N398" s="21">
        <v>531.5</v>
      </c>
      <c r="O398" s="8"/>
      <c r="P398" s="21"/>
      <c r="Q398" s="8"/>
      <c r="R398" s="28"/>
    </row>
    <row r="399" spans="1:18">
      <c r="A399" s="1" t="s">
        <v>535</v>
      </c>
      <c r="B399" s="6" t="s">
        <v>12</v>
      </c>
      <c r="C399" s="7">
        <v>45284</v>
      </c>
      <c r="D399" s="25">
        <f t="shared" si="12"/>
        <v>12</v>
      </c>
      <c r="E399" s="25">
        <f t="shared" si="13"/>
        <v>2023</v>
      </c>
      <c r="F399" s="7" t="s">
        <v>62</v>
      </c>
      <c r="G399" s="4" t="s">
        <v>112</v>
      </c>
      <c r="H399" s="4" t="s">
        <v>122</v>
      </c>
      <c r="I399" s="9">
        <v>5061</v>
      </c>
      <c r="J399" s="9" t="s">
        <v>126</v>
      </c>
      <c r="K399" s="8">
        <v>45285</v>
      </c>
      <c r="L399" s="21">
        <v>5061</v>
      </c>
      <c r="M399" s="8"/>
      <c r="N399" s="21"/>
      <c r="O399" s="8"/>
      <c r="P399" s="21"/>
      <c r="Q399" s="8"/>
      <c r="R399" s="28"/>
    </row>
    <row r="400" spans="1:18">
      <c r="A400" s="1" t="s">
        <v>536</v>
      </c>
      <c r="B400" s="6" t="s">
        <v>59</v>
      </c>
      <c r="C400" s="7">
        <v>45348</v>
      </c>
      <c r="D400" s="25">
        <f t="shared" si="12"/>
        <v>2</v>
      </c>
      <c r="E400" s="25">
        <f t="shared" si="13"/>
        <v>2024</v>
      </c>
      <c r="F400" s="7" t="s">
        <v>108</v>
      </c>
      <c r="G400" s="4" t="s">
        <v>111</v>
      </c>
      <c r="H400" s="4" t="s">
        <v>121</v>
      </c>
      <c r="I400" s="9">
        <v>4323</v>
      </c>
      <c r="J400" s="9" t="s">
        <v>137</v>
      </c>
      <c r="K400" s="8">
        <v>45349</v>
      </c>
      <c r="L400" s="21">
        <v>1441</v>
      </c>
      <c r="M400" s="8">
        <v>45378</v>
      </c>
      <c r="N400" s="21">
        <v>1441</v>
      </c>
      <c r="O400" s="8">
        <v>45393</v>
      </c>
      <c r="P400" s="21">
        <v>1441</v>
      </c>
      <c r="Q400" s="8"/>
      <c r="R400" s="28"/>
    </row>
    <row r="401" spans="1:18">
      <c r="A401" s="1" t="s">
        <v>537</v>
      </c>
      <c r="B401" s="6" t="s">
        <v>43</v>
      </c>
      <c r="C401" s="7">
        <v>45170</v>
      </c>
      <c r="D401" s="25">
        <f t="shared" si="12"/>
        <v>9</v>
      </c>
      <c r="E401" s="25">
        <f t="shared" si="13"/>
        <v>2023</v>
      </c>
      <c r="F401" s="7" t="s">
        <v>92</v>
      </c>
      <c r="G401" s="4" t="s">
        <v>110</v>
      </c>
      <c r="H401" s="4" t="s">
        <v>124</v>
      </c>
      <c r="I401" s="9">
        <v>5282</v>
      </c>
      <c r="J401" s="9" t="s">
        <v>137</v>
      </c>
      <c r="K401" s="8">
        <v>45171</v>
      </c>
      <c r="L401" s="21">
        <v>1760.6666666666667</v>
      </c>
      <c r="M401" s="8">
        <v>45200</v>
      </c>
      <c r="N401" s="21">
        <v>1760.6666666666667</v>
      </c>
      <c r="O401" s="8">
        <v>45215</v>
      </c>
      <c r="P401" s="21">
        <v>1760.6666666666667</v>
      </c>
      <c r="Q401" s="8"/>
      <c r="R401" s="28"/>
    </row>
    <row r="402" spans="1:18">
      <c r="A402" s="1" t="s">
        <v>538</v>
      </c>
      <c r="B402" s="6" t="s">
        <v>18</v>
      </c>
      <c r="C402" s="7">
        <v>45161</v>
      </c>
      <c r="D402" s="25">
        <f t="shared" si="12"/>
        <v>8</v>
      </c>
      <c r="E402" s="25">
        <f t="shared" si="13"/>
        <v>2023</v>
      </c>
      <c r="F402" s="7" t="s">
        <v>67</v>
      </c>
      <c r="G402" s="4" t="s">
        <v>111</v>
      </c>
      <c r="H402" s="4" t="s">
        <v>121</v>
      </c>
      <c r="I402" s="9">
        <v>2837</v>
      </c>
      <c r="J402" s="9" t="s">
        <v>126</v>
      </c>
      <c r="K402" s="8">
        <v>45162</v>
      </c>
      <c r="L402" s="21">
        <v>2837</v>
      </c>
      <c r="M402" s="8"/>
      <c r="N402" s="21"/>
      <c r="O402" s="8"/>
      <c r="P402" s="21"/>
      <c r="Q402" s="8"/>
      <c r="R402" s="28"/>
    </row>
    <row r="403" spans="1:18">
      <c r="A403" s="1" t="s">
        <v>539</v>
      </c>
      <c r="B403" s="6" t="s">
        <v>37</v>
      </c>
      <c r="C403" s="7">
        <v>45332</v>
      </c>
      <c r="D403" s="25">
        <f t="shared" si="12"/>
        <v>2</v>
      </c>
      <c r="E403" s="25">
        <f t="shared" si="13"/>
        <v>2024</v>
      </c>
      <c r="F403" s="7" t="s">
        <v>86</v>
      </c>
      <c r="G403" s="4" t="s">
        <v>112</v>
      </c>
      <c r="H403" s="4" t="s">
        <v>123</v>
      </c>
      <c r="I403" s="9">
        <v>7874</v>
      </c>
      <c r="J403" s="9" t="s">
        <v>126</v>
      </c>
      <c r="K403" s="8">
        <v>45333</v>
      </c>
      <c r="L403" s="21">
        <v>7874</v>
      </c>
      <c r="M403" s="8"/>
      <c r="N403" s="21"/>
      <c r="O403" s="8"/>
      <c r="P403" s="21"/>
      <c r="Q403" s="8"/>
      <c r="R403" s="28"/>
    </row>
    <row r="404" spans="1:18">
      <c r="A404" s="1" t="s">
        <v>540</v>
      </c>
      <c r="B404" s="6" t="s">
        <v>35</v>
      </c>
      <c r="C404" s="7">
        <v>45112</v>
      </c>
      <c r="D404" s="25">
        <f t="shared" si="12"/>
        <v>7</v>
      </c>
      <c r="E404" s="25">
        <f t="shared" si="13"/>
        <v>2023</v>
      </c>
      <c r="F404" s="7" t="s">
        <v>84</v>
      </c>
      <c r="G404" s="4" t="s">
        <v>112</v>
      </c>
      <c r="H404" s="4" t="s">
        <v>122</v>
      </c>
      <c r="I404" s="9">
        <v>8182</v>
      </c>
      <c r="J404" s="9" t="s">
        <v>126</v>
      </c>
      <c r="K404" s="8">
        <v>45113</v>
      </c>
      <c r="L404" s="21">
        <v>8182</v>
      </c>
      <c r="M404" s="8"/>
      <c r="N404" s="21"/>
      <c r="O404" s="8"/>
      <c r="P404" s="21"/>
      <c r="Q404" s="8"/>
      <c r="R404" s="28"/>
    </row>
    <row r="405" spans="1:18">
      <c r="A405" s="1" t="s">
        <v>541</v>
      </c>
      <c r="B405" s="6" t="s">
        <v>45</v>
      </c>
      <c r="C405" s="7">
        <v>45141</v>
      </c>
      <c r="D405" s="25">
        <f t="shared" si="12"/>
        <v>8</v>
      </c>
      <c r="E405" s="25">
        <f t="shared" si="13"/>
        <v>2023</v>
      </c>
      <c r="F405" s="7" t="s">
        <v>94</v>
      </c>
      <c r="G405" s="4" t="s">
        <v>110</v>
      </c>
      <c r="H405" s="4" t="s">
        <v>113</v>
      </c>
      <c r="I405" s="9">
        <v>3563</v>
      </c>
      <c r="J405" s="9" t="s">
        <v>136</v>
      </c>
      <c r="K405" s="8">
        <v>45142</v>
      </c>
      <c r="L405" s="21">
        <v>890.75</v>
      </c>
      <c r="M405" s="8">
        <v>45171</v>
      </c>
      <c r="N405" s="21">
        <v>890.75</v>
      </c>
      <c r="O405" s="8">
        <v>45186</v>
      </c>
      <c r="P405" s="21">
        <v>890.75</v>
      </c>
      <c r="Q405" s="8">
        <v>45201</v>
      </c>
      <c r="R405" s="28">
        <v>890.75</v>
      </c>
    </row>
    <row r="406" spans="1:18">
      <c r="A406" s="1" t="s">
        <v>542</v>
      </c>
      <c r="B406" s="6" t="s">
        <v>37</v>
      </c>
      <c r="C406" s="7">
        <v>45342</v>
      </c>
      <c r="D406" s="25">
        <f t="shared" si="12"/>
        <v>2</v>
      </c>
      <c r="E406" s="25">
        <f t="shared" si="13"/>
        <v>2024</v>
      </c>
      <c r="F406" s="7" t="s">
        <v>86</v>
      </c>
      <c r="G406" s="4" t="s">
        <v>112</v>
      </c>
      <c r="H406" s="4" t="s">
        <v>123</v>
      </c>
      <c r="I406" s="9">
        <v>2295</v>
      </c>
      <c r="J406" s="9" t="s">
        <v>126</v>
      </c>
      <c r="K406" s="8">
        <v>45343</v>
      </c>
      <c r="L406" s="21">
        <v>2295</v>
      </c>
      <c r="M406" s="8"/>
      <c r="N406" s="21"/>
      <c r="O406" s="8"/>
      <c r="P406" s="21"/>
      <c r="Q406" s="8"/>
      <c r="R406" s="28"/>
    </row>
    <row r="407" spans="1:18">
      <c r="A407" s="1" t="s">
        <v>543</v>
      </c>
      <c r="B407" s="6" t="s">
        <v>26</v>
      </c>
      <c r="C407" s="7">
        <v>45184</v>
      </c>
      <c r="D407" s="25">
        <f t="shared" si="12"/>
        <v>9</v>
      </c>
      <c r="E407" s="25">
        <f t="shared" si="13"/>
        <v>2023</v>
      </c>
      <c r="F407" s="7" t="s">
        <v>75</v>
      </c>
      <c r="G407" s="4" t="s">
        <v>112</v>
      </c>
      <c r="H407" s="4" t="s">
        <v>123</v>
      </c>
      <c r="I407" s="9">
        <v>5621</v>
      </c>
      <c r="J407" s="9" t="s">
        <v>126</v>
      </c>
      <c r="K407" s="8">
        <v>45185</v>
      </c>
      <c r="L407" s="21">
        <v>5621</v>
      </c>
      <c r="M407" s="8"/>
      <c r="N407" s="21"/>
      <c r="O407" s="8"/>
      <c r="P407" s="21"/>
      <c r="Q407" s="8"/>
      <c r="R407" s="28"/>
    </row>
    <row r="408" spans="1:18">
      <c r="A408" s="1" t="s">
        <v>544</v>
      </c>
      <c r="B408" s="6" t="s">
        <v>52</v>
      </c>
      <c r="C408" s="7">
        <v>45334</v>
      </c>
      <c r="D408" s="25">
        <f t="shared" si="12"/>
        <v>2</v>
      </c>
      <c r="E408" s="25">
        <f t="shared" si="13"/>
        <v>2024</v>
      </c>
      <c r="F408" s="7" t="s">
        <v>101</v>
      </c>
      <c r="G408" s="4" t="s">
        <v>111</v>
      </c>
      <c r="H408" s="4" t="s">
        <v>118</v>
      </c>
      <c r="I408" s="9">
        <v>5611</v>
      </c>
      <c r="J408" s="9" t="s">
        <v>126</v>
      </c>
      <c r="K408" s="8">
        <v>45335</v>
      </c>
      <c r="L408" s="21">
        <v>5611</v>
      </c>
      <c r="M408" s="8"/>
      <c r="N408" s="21"/>
      <c r="O408" s="8"/>
      <c r="P408" s="21"/>
      <c r="Q408" s="8"/>
      <c r="R408" s="28"/>
    </row>
    <row r="409" spans="1:18">
      <c r="A409" s="1" t="s">
        <v>545</v>
      </c>
      <c r="B409" s="6" t="s">
        <v>43</v>
      </c>
      <c r="C409" s="7">
        <v>45471</v>
      </c>
      <c r="D409" s="25">
        <f t="shared" si="12"/>
        <v>6</v>
      </c>
      <c r="E409" s="25">
        <f t="shared" si="13"/>
        <v>2024</v>
      </c>
      <c r="F409" s="7" t="s">
        <v>92</v>
      </c>
      <c r="G409" s="4" t="s">
        <v>110</v>
      </c>
      <c r="H409" s="4" t="s">
        <v>124</v>
      </c>
      <c r="I409" s="9">
        <v>9978</v>
      </c>
      <c r="J409" s="9" t="s">
        <v>138</v>
      </c>
      <c r="K409" s="8">
        <v>45472</v>
      </c>
      <c r="L409" s="21">
        <v>4989</v>
      </c>
      <c r="M409" s="8">
        <v>45501</v>
      </c>
      <c r="N409" s="21">
        <v>4989</v>
      </c>
      <c r="O409" s="8"/>
      <c r="P409" s="21"/>
      <c r="Q409" s="8"/>
      <c r="R409" s="28"/>
    </row>
    <row r="410" spans="1:18">
      <c r="A410" s="1" t="s">
        <v>546</v>
      </c>
      <c r="B410" s="6" t="s">
        <v>30</v>
      </c>
      <c r="C410" s="7">
        <v>45236</v>
      </c>
      <c r="D410" s="25">
        <f t="shared" si="12"/>
        <v>11</v>
      </c>
      <c r="E410" s="25">
        <f t="shared" si="13"/>
        <v>2023</v>
      </c>
      <c r="F410" s="7" t="s">
        <v>79</v>
      </c>
      <c r="G410" s="4" t="s">
        <v>111</v>
      </c>
      <c r="H410" s="4" t="s">
        <v>118</v>
      </c>
      <c r="I410" s="9">
        <v>8750</v>
      </c>
      <c r="J410" s="9" t="s">
        <v>138</v>
      </c>
      <c r="K410" s="8">
        <v>45237</v>
      </c>
      <c r="L410" s="21">
        <v>4375</v>
      </c>
      <c r="M410" s="8">
        <v>45266</v>
      </c>
      <c r="N410" s="21">
        <v>4375</v>
      </c>
      <c r="O410" s="8"/>
      <c r="P410" s="21"/>
      <c r="Q410" s="8"/>
      <c r="R410" s="28"/>
    </row>
    <row r="411" spans="1:18">
      <c r="A411" s="1" t="s">
        <v>547</v>
      </c>
      <c r="B411" s="6" t="s">
        <v>51</v>
      </c>
      <c r="C411" s="7">
        <v>45107</v>
      </c>
      <c r="D411" s="25">
        <f t="shared" si="12"/>
        <v>6</v>
      </c>
      <c r="E411" s="25">
        <f t="shared" si="13"/>
        <v>2023</v>
      </c>
      <c r="F411" s="7" t="s">
        <v>100</v>
      </c>
      <c r="G411" s="4" t="s">
        <v>111</v>
      </c>
      <c r="H411" s="4" t="s">
        <v>121</v>
      </c>
      <c r="I411" s="9">
        <v>8236</v>
      </c>
      <c r="J411" s="9" t="s">
        <v>136</v>
      </c>
      <c r="K411" s="8">
        <v>45108</v>
      </c>
      <c r="L411" s="21">
        <v>2059</v>
      </c>
      <c r="M411" s="8">
        <v>45137</v>
      </c>
      <c r="N411" s="21">
        <v>2059</v>
      </c>
      <c r="O411" s="8">
        <v>45152</v>
      </c>
      <c r="P411" s="21">
        <v>2059</v>
      </c>
      <c r="Q411" s="8">
        <v>45167</v>
      </c>
      <c r="R411" s="28">
        <v>2059</v>
      </c>
    </row>
    <row r="412" spans="1:18">
      <c r="A412" s="1" t="s">
        <v>548</v>
      </c>
      <c r="B412" s="6" t="s">
        <v>46</v>
      </c>
      <c r="C412" s="7">
        <v>45307</v>
      </c>
      <c r="D412" s="25">
        <f t="shared" si="12"/>
        <v>1</v>
      </c>
      <c r="E412" s="25">
        <f t="shared" si="13"/>
        <v>2024</v>
      </c>
      <c r="F412" s="7" t="s">
        <v>95</v>
      </c>
      <c r="G412" s="4" t="s">
        <v>112</v>
      </c>
      <c r="H412" s="4" t="s">
        <v>122</v>
      </c>
      <c r="I412" s="9">
        <v>1065</v>
      </c>
      <c r="J412" s="9" t="s">
        <v>126</v>
      </c>
      <c r="K412" s="8">
        <v>45308</v>
      </c>
      <c r="L412" s="21">
        <v>1065</v>
      </c>
      <c r="M412" s="8"/>
      <c r="N412" s="21"/>
      <c r="O412" s="8"/>
      <c r="P412" s="21"/>
      <c r="Q412" s="8"/>
      <c r="R412" s="28"/>
    </row>
    <row r="413" spans="1:18">
      <c r="A413" s="1" t="s">
        <v>549</v>
      </c>
      <c r="B413" s="6" t="s">
        <v>12</v>
      </c>
      <c r="C413" s="7">
        <v>45371</v>
      </c>
      <c r="D413" s="25">
        <f t="shared" si="12"/>
        <v>3</v>
      </c>
      <c r="E413" s="25">
        <f t="shared" si="13"/>
        <v>2024</v>
      </c>
      <c r="F413" s="7" t="s">
        <v>62</v>
      </c>
      <c r="G413" s="4" t="s">
        <v>112</v>
      </c>
      <c r="H413" s="4" t="s">
        <v>122</v>
      </c>
      <c r="I413" s="9">
        <v>486</v>
      </c>
      <c r="J413" s="9" t="s">
        <v>126</v>
      </c>
      <c r="K413" s="8">
        <v>45372</v>
      </c>
      <c r="L413" s="21">
        <v>486</v>
      </c>
      <c r="M413" s="8"/>
      <c r="N413" s="21"/>
      <c r="O413" s="8"/>
      <c r="P413" s="21"/>
      <c r="Q413" s="8"/>
      <c r="R413" s="28"/>
    </row>
    <row r="414" spans="1:18">
      <c r="A414" s="1" t="s">
        <v>550</v>
      </c>
      <c r="B414" s="6" t="s">
        <v>49</v>
      </c>
      <c r="C414" s="7">
        <v>45271</v>
      </c>
      <c r="D414" s="25">
        <f t="shared" si="12"/>
        <v>12</v>
      </c>
      <c r="E414" s="25">
        <f t="shared" si="13"/>
        <v>2023</v>
      </c>
      <c r="F414" s="7" t="s">
        <v>98</v>
      </c>
      <c r="G414" s="4" t="s">
        <v>110</v>
      </c>
      <c r="H414" s="4" t="s">
        <v>125</v>
      </c>
      <c r="I414" s="9">
        <v>8422</v>
      </c>
      <c r="J414" s="9" t="s">
        <v>138</v>
      </c>
      <c r="K414" s="8">
        <v>45272</v>
      </c>
      <c r="L414" s="21">
        <v>4211</v>
      </c>
      <c r="M414" s="8">
        <v>45301</v>
      </c>
      <c r="N414" s="21">
        <v>4211</v>
      </c>
      <c r="O414" s="8"/>
      <c r="P414" s="21"/>
      <c r="Q414" s="8"/>
      <c r="R414" s="28"/>
    </row>
    <row r="415" spans="1:18">
      <c r="A415" s="1" t="s">
        <v>551</v>
      </c>
      <c r="B415" s="6" t="s">
        <v>37</v>
      </c>
      <c r="C415" s="7">
        <v>45414</v>
      </c>
      <c r="D415" s="25">
        <f t="shared" si="12"/>
        <v>5</v>
      </c>
      <c r="E415" s="25">
        <f t="shared" si="13"/>
        <v>2024</v>
      </c>
      <c r="F415" s="7" t="s">
        <v>86</v>
      </c>
      <c r="G415" s="4" t="s">
        <v>112</v>
      </c>
      <c r="H415" s="4" t="s">
        <v>123</v>
      </c>
      <c r="I415" s="9">
        <v>5339</v>
      </c>
      <c r="J415" s="9" t="s">
        <v>126</v>
      </c>
      <c r="K415" s="8">
        <v>45415</v>
      </c>
      <c r="L415" s="21">
        <v>5339</v>
      </c>
      <c r="M415" s="8"/>
      <c r="N415" s="21"/>
      <c r="O415" s="8"/>
      <c r="P415" s="21"/>
      <c r="Q415" s="8"/>
      <c r="R415" s="28"/>
    </row>
    <row r="416" spans="1:18">
      <c r="A416" s="1" t="s">
        <v>552</v>
      </c>
      <c r="B416" s="6" t="s">
        <v>47</v>
      </c>
      <c r="C416" s="7">
        <v>45421</v>
      </c>
      <c r="D416" s="25">
        <f t="shared" si="12"/>
        <v>5</v>
      </c>
      <c r="E416" s="25">
        <f t="shared" si="13"/>
        <v>2024</v>
      </c>
      <c r="F416" s="7" t="s">
        <v>96</v>
      </c>
      <c r="G416" s="4" t="s">
        <v>111</v>
      </c>
      <c r="H416" s="4" t="s">
        <v>120</v>
      </c>
      <c r="I416" s="9">
        <v>1109</v>
      </c>
      <c r="J416" s="9" t="s">
        <v>126</v>
      </c>
      <c r="K416" s="8">
        <v>45422</v>
      </c>
      <c r="L416" s="21">
        <v>1109</v>
      </c>
      <c r="M416" s="8"/>
      <c r="N416" s="21"/>
      <c r="O416" s="8"/>
      <c r="P416" s="21"/>
      <c r="Q416" s="8"/>
      <c r="R416" s="28"/>
    </row>
    <row r="417" spans="1:18">
      <c r="A417" s="1" t="s">
        <v>553</v>
      </c>
      <c r="B417" s="6" t="s">
        <v>17</v>
      </c>
      <c r="C417" s="7">
        <v>45087</v>
      </c>
      <c r="D417" s="25">
        <f t="shared" si="12"/>
        <v>6</v>
      </c>
      <c r="E417" s="25">
        <f t="shared" si="13"/>
        <v>2023</v>
      </c>
      <c r="F417" s="7" t="s">
        <v>66</v>
      </c>
      <c r="G417" s="4" t="s">
        <v>110</v>
      </c>
      <c r="H417" s="4" t="s">
        <v>114</v>
      </c>
      <c r="I417" s="9">
        <v>9579</v>
      </c>
      <c r="J417" s="9" t="s">
        <v>138</v>
      </c>
      <c r="K417" s="8">
        <v>45088</v>
      </c>
      <c r="L417" s="21">
        <v>4789.5</v>
      </c>
      <c r="M417" s="8">
        <v>45117</v>
      </c>
      <c r="N417" s="21">
        <v>4789.5</v>
      </c>
      <c r="O417" s="8"/>
      <c r="P417" s="21"/>
      <c r="Q417" s="8"/>
      <c r="R417" s="28"/>
    </row>
    <row r="418" spans="1:18">
      <c r="A418" s="1" t="s">
        <v>554</v>
      </c>
      <c r="B418" s="6" t="s">
        <v>43</v>
      </c>
      <c r="C418" s="7">
        <v>45239</v>
      </c>
      <c r="D418" s="25">
        <f t="shared" si="12"/>
        <v>11</v>
      </c>
      <c r="E418" s="25">
        <f t="shared" si="13"/>
        <v>2023</v>
      </c>
      <c r="F418" s="7" t="s">
        <v>92</v>
      </c>
      <c r="G418" s="4" t="s">
        <v>110</v>
      </c>
      <c r="H418" s="4" t="s">
        <v>124</v>
      </c>
      <c r="I418" s="9">
        <v>7776</v>
      </c>
      <c r="J418" s="9" t="s">
        <v>136</v>
      </c>
      <c r="K418" s="8">
        <v>45240</v>
      </c>
      <c r="L418" s="21">
        <v>1944</v>
      </c>
      <c r="M418" s="8">
        <v>45269</v>
      </c>
      <c r="N418" s="21">
        <v>1944</v>
      </c>
      <c r="O418" s="8">
        <v>45284</v>
      </c>
      <c r="P418" s="21">
        <v>1944</v>
      </c>
      <c r="Q418" s="8">
        <v>45299</v>
      </c>
      <c r="R418" s="28">
        <v>1944</v>
      </c>
    </row>
    <row r="419" spans="1:18">
      <c r="A419" s="1" t="s">
        <v>555</v>
      </c>
      <c r="B419" s="6" t="s">
        <v>60</v>
      </c>
      <c r="C419" s="7">
        <v>45276</v>
      </c>
      <c r="D419" s="25">
        <f t="shared" si="12"/>
        <v>12</v>
      </c>
      <c r="E419" s="25">
        <f t="shared" si="13"/>
        <v>2023</v>
      </c>
      <c r="F419" s="7" t="s">
        <v>109</v>
      </c>
      <c r="G419" s="4" t="s">
        <v>111</v>
      </c>
      <c r="H419" s="4" t="s">
        <v>118</v>
      </c>
      <c r="I419" s="9">
        <v>2584</v>
      </c>
      <c r="J419" s="9" t="s">
        <v>136</v>
      </c>
      <c r="K419" s="8">
        <v>45277</v>
      </c>
      <c r="L419" s="21">
        <v>646</v>
      </c>
      <c r="M419" s="8">
        <v>45306</v>
      </c>
      <c r="N419" s="21">
        <v>646</v>
      </c>
      <c r="O419" s="8">
        <v>45321</v>
      </c>
      <c r="P419" s="21">
        <v>646</v>
      </c>
      <c r="Q419" s="8">
        <v>45336</v>
      </c>
      <c r="R419" s="28">
        <v>646</v>
      </c>
    </row>
    <row r="420" spans="1:18">
      <c r="A420" s="1" t="s">
        <v>556</v>
      </c>
      <c r="B420" s="6" t="s">
        <v>41</v>
      </c>
      <c r="C420" s="7">
        <v>45388</v>
      </c>
      <c r="D420" s="25">
        <f t="shared" si="12"/>
        <v>4</v>
      </c>
      <c r="E420" s="25">
        <f t="shared" si="13"/>
        <v>2024</v>
      </c>
      <c r="F420" s="7" t="s">
        <v>90</v>
      </c>
      <c r="G420" s="4" t="s">
        <v>111</v>
      </c>
      <c r="H420" s="4" t="s">
        <v>118</v>
      </c>
      <c r="I420" s="9">
        <v>6415</v>
      </c>
      <c r="J420" s="9" t="s">
        <v>136</v>
      </c>
      <c r="K420" s="8">
        <v>45389</v>
      </c>
      <c r="L420" s="21">
        <v>1603.75</v>
      </c>
      <c r="M420" s="8">
        <v>45418</v>
      </c>
      <c r="N420" s="21">
        <v>1603.75</v>
      </c>
      <c r="O420" s="8">
        <v>45433</v>
      </c>
      <c r="P420" s="21">
        <v>1603.75</v>
      </c>
      <c r="Q420" s="8">
        <v>45448</v>
      </c>
      <c r="R420" s="28">
        <v>1603.75</v>
      </c>
    </row>
    <row r="421" spans="1:18">
      <c r="A421" s="1" t="s">
        <v>557</v>
      </c>
      <c r="B421" s="6" t="s">
        <v>50</v>
      </c>
      <c r="C421" s="7">
        <v>45213</v>
      </c>
      <c r="D421" s="25">
        <f t="shared" si="12"/>
        <v>10</v>
      </c>
      <c r="E421" s="25">
        <f t="shared" si="13"/>
        <v>2023</v>
      </c>
      <c r="F421" s="7" t="s">
        <v>99</v>
      </c>
      <c r="G421" s="4" t="s">
        <v>110</v>
      </c>
      <c r="H421" s="4" t="s">
        <v>114</v>
      </c>
      <c r="I421" s="9">
        <v>1976</v>
      </c>
      <c r="J421" s="9" t="s">
        <v>136</v>
      </c>
      <c r="K421" s="8">
        <v>45214</v>
      </c>
      <c r="L421" s="21">
        <v>494</v>
      </c>
      <c r="M421" s="8">
        <v>45243</v>
      </c>
      <c r="N421" s="21">
        <v>494</v>
      </c>
      <c r="O421" s="8">
        <v>45258</v>
      </c>
      <c r="P421" s="21">
        <v>494</v>
      </c>
      <c r="Q421" s="8">
        <v>45273</v>
      </c>
      <c r="R421" s="28">
        <v>494</v>
      </c>
    </row>
    <row r="422" spans="1:18">
      <c r="A422" s="1" t="s">
        <v>558</v>
      </c>
      <c r="B422" s="6" t="s">
        <v>53</v>
      </c>
      <c r="C422" s="7">
        <v>45235</v>
      </c>
      <c r="D422" s="25">
        <f t="shared" si="12"/>
        <v>11</v>
      </c>
      <c r="E422" s="25">
        <f t="shared" si="13"/>
        <v>2023</v>
      </c>
      <c r="F422" s="7" t="s">
        <v>102</v>
      </c>
      <c r="G422" s="4" t="s">
        <v>111</v>
      </c>
      <c r="H422" s="4" t="s">
        <v>117</v>
      </c>
      <c r="I422" s="9">
        <v>690</v>
      </c>
      <c r="J422" s="9" t="s">
        <v>126</v>
      </c>
      <c r="K422" s="8">
        <v>45236</v>
      </c>
      <c r="L422" s="21">
        <v>690</v>
      </c>
      <c r="M422" s="8"/>
      <c r="N422" s="21"/>
      <c r="O422" s="8"/>
      <c r="P422" s="21"/>
      <c r="Q422" s="8"/>
      <c r="R422" s="28"/>
    </row>
    <row r="423" spans="1:18">
      <c r="A423" s="1" t="s">
        <v>559</v>
      </c>
      <c r="B423" s="6" t="s">
        <v>53</v>
      </c>
      <c r="C423" s="7">
        <v>45512</v>
      </c>
      <c r="D423" s="25">
        <f t="shared" si="12"/>
        <v>8</v>
      </c>
      <c r="E423" s="25">
        <f t="shared" si="13"/>
        <v>2024</v>
      </c>
      <c r="F423" s="7" t="s">
        <v>102</v>
      </c>
      <c r="G423" s="4" t="s">
        <v>111</v>
      </c>
      <c r="H423" s="4" t="s">
        <v>117</v>
      </c>
      <c r="I423" s="9">
        <v>4101</v>
      </c>
      <c r="J423" s="9" t="s">
        <v>126</v>
      </c>
      <c r="K423" s="8">
        <v>45513</v>
      </c>
      <c r="L423" s="21">
        <v>4101</v>
      </c>
      <c r="M423" s="8"/>
      <c r="N423" s="21"/>
      <c r="O423" s="8"/>
      <c r="P423" s="21"/>
      <c r="Q423" s="8"/>
      <c r="R423" s="28"/>
    </row>
    <row r="424" spans="1:18">
      <c r="A424" s="1" t="s">
        <v>560</v>
      </c>
      <c r="B424" s="6" t="s">
        <v>42</v>
      </c>
      <c r="C424" s="7">
        <v>45380</v>
      </c>
      <c r="D424" s="25">
        <f t="shared" si="12"/>
        <v>3</v>
      </c>
      <c r="E424" s="25">
        <f t="shared" si="13"/>
        <v>2024</v>
      </c>
      <c r="F424" s="7" t="s">
        <v>91</v>
      </c>
      <c r="G424" s="4" t="s">
        <v>111</v>
      </c>
      <c r="H424" s="4" t="s">
        <v>117</v>
      </c>
      <c r="I424" s="9">
        <v>4789</v>
      </c>
      <c r="J424" s="9" t="s">
        <v>138</v>
      </c>
      <c r="K424" s="8">
        <v>45381</v>
      </c>
      <c r="L424" s="21">
        <v>2394.5</v>
      </c>
      <c r="M424" s="8">
        <v>45410</v>
      </c>
      <c r="N424" s="21">
        <v>2394.5</v>
      </c>
      <c r="O424" s="8"/>
      <c r="P424" s="21"/>
      <c r="Q424" s="8"/>
      <c r="R424" s="28"/>
    </row>
    <row r="425" spans="1:18">
      <c r="A425" s="1" t="s">
        <v>561</v>
      </c>
      <c r="B425" s="6" t="s">
        <v>42</v>
      </c>
      <c r="C425" s="7">
        <v>45285</v>
      </c>
      <c r="D425" s="25">
        <f t="shared" si="12"/>
        <v>12</v>
      </c>
      <c r="E425" s="25">
        <f t="shared" si="13"/>
        <v>2023</v>
      </c>
      <c r="F425" s="7" t="s">
        <v>91</v>
      </c>
      <c r="G425" s="4" t="s">
        <v>111</v>
      </c>
      <c r="H425" s="4" t="s">
        <v>117</v>
      </c>
      <c r="I425" s="9">
        <v>6021</v>
      </c>
      <c r="J425" s="9" t="s">
        <v>136</v>
      </c>
      <c r="K425" s="8">
        <v>45286</v>
      </c>
      <c r="L425" s="21">
        <v>1505.25</v>
      </c>
      <c r="M425" s="8">
        <v>45315</v>
      </c>
      <c r="N425" s="21">
        <v>1505.25</v>
      </c>
      <c r="O425" s="8">
        <v>45330</v>
      </c>
      <c r="P425" s="21">
        <v>1505.25</v>
      </c>
      <c r="Q425" s="8">
        <v>45345</v>
      </c>
      <c r="R425" s="28">
        <v>1505.25</v>
      </c>
    </row>
    <row r="426" spans="1:18">
      <c r="A426" s="1" t="s">
        <v>562</v>
      </c>
      <c r="B426" s="6" t="s">
        <v>17</v>
      </c>
      <c r="C426" s="7">
        <v>45269</v>
      </c>
      <c r="D426" s="25">
        <f t="shared" si="12"/>
        <v>12</v>
      </c>
      <c r="E426" s="25">
        <f t="shared" si="13"/>
        <v>2023</v>
      </c>
      <c r="F426" s="7" t="s">
        <v>66</v>
      </c>
      <c r="G426" s="4" t="s">
        <v>110</v>
      </c>
      <c r="H426" s="4" t="s">
        <v>114</v>
      </c>
      <c r="I426" s="9">
        <v>1410</v>
      </c>
      <c r="J426" s="9" t="s">
        <v>138</v>
      </c>
      <c r="K426" s="8">
        <v>45270</v>
      </c>
      <c r="L426" s="21">
        <v>705</v>
      </c>
      <c r="M426" s="8">
        <v>45299</v>
      </c>
      <c r="N426" s="21">
        <v>705</v>
      </c>
      <c r="O426" s="8"/>
      <c r="P426" s="21"/>
      <c r="Q426" s="8"/>
      <c r="R426" s="28"/>
    </row>
    <row r="427" spans="1:18">
      <c r="A427" s="1" t="s">
        <v>563</v>
      </c>
      <c r="B427" s="6" t="s">
        <v>17</v>
      </c>
      <c r="C427" s="7">
        <v>45177</v>
      </c>
      <c r="D427" s="25">
        <f t="shared" si="12"/>
        <v>9</v>
      </c>
      <c r="E427" s="25">
        <f t="shared" si="13"/>
        <v>2023</v>
      </c>
      <c r="F427" s="7" t="s">
        <v>66</v>
      </c>
      <c r="G427" s="4" t="s">
        <v>110</v>
      </c>
      <c r="H427" s="4" t="s">
        <v>114</v>
      </c>
      <c r="I427" s="9">
        <v>818</v>
      </c>
      <c r="J427" s="9" t="s">
        <v>137</v>
      </c>
      <c r="K427" s="8">
        <v>45178</v>
      </c>
      <c r="L427" s="21">
        <v>272.66666666666669</v>
      </c>
      <c r="M427" s="8">
        <v>45207</v>
      </c>
      <c r="N427" s="21">
        <v>272.66666666666669</v>
      </c>
      <c r="O427" s="8">
        <v>45222</v>
      </c>
      <c r="P427" s="21">
        <v>272.66666666666669</v>
      </c>
      <c r="Q427" s="8"/>
      <c r="R427" s="28"/>
    </row>
    <row r="428" spans="1:18">
      <c r="A428" s="1" t="s">
        <v>564</v>
      </c>
      <c r="B428" s="6" t="s">
        <v>60</v>
      </c>
      <c r="C428" s="7">
        <v>45189</v>
      </c>
      <c r="D428" s="25">
        <f t="shared" si="12"/>
        <v>9</v>
      </c>
      <c r="E428" s="25">
        <f t="shared" si="13"/>
        <v>2023</v>
      </c>
      <c r="F428" s="7" t="s">
        <v>109</v>
      </c>
      <c r="G428" s="4" t="s">
        <v>111</v>
      </c>
      <c r="H428" s="4" t="s">
        <v>118</v>
      </c>
      <c r="I428" s="9">
        <v>1355</v>
      </c>
      <c r="J428" s="9" t="s">
        <v>137</v>
      </c>
      <c r="K428" s="8">
        <v>45190</v>
      </c>
      <c r="L428" s="21">
        <v>451.66666666666669</v>
      </c>
      <c r="M428" s="8">
        <v>45219</v>
      </c>
      <c r="N428" s="21">
        <v>451.66666666666669</v>
      </c>
      <c r="O428" s="8">
        <v>45234</v>
      </c>
      <c r="P428" s="21">
        <v>451.66666666666669</v>
      </c>
      <c r="Q428" s="8"/>
      <c r="R428" s="28"/>
    </row>
    <row r="429" spans="1:18">
      <c r="A429" s="1" t="s">
        <v>565</v>
      </c>
      <c r="B429" s="6" t="s">
        <v>31</v>
      </c>
      <c r="C429" s="7">
        <v>45076</v>
      </c>
      <c r="D429" s="25">
        <f t="shared" si="12"/>
        <v>5</v>
      </c>
      <c r="E429" s="25">
        <f t="shared" si="13"/>
        <v>2023</v>
      </c>
      <c r="F429" s="7" t="s">
        <v>80</v>
      </c>
      <c r="G429" s="4" t="s">
        <v>111</v>
      </c>
      <c r="H429" s="4" t="s">
        <v>117</v>
      </c>
      <c r="I429" s="9">
        <v>2689</v>
      </c>
      <c r="J429" s="9" t="s">
        <v>126</v>
      </c>
      <c r="K429" s="8">
        <v>45077</v>
      </c>
      <c r="L429" s="21">
        <v>2689</v>
      </c>
      <c r="M429" s="8"/>
      <c r="N429" s="21"/>
      <c r="O429" s="8"/>
      <c r="P429" s="21"/>
      <c r="Q429" s="8"/>
      <c r="R429" s="28"/>
    </row>
    <row r="430" spans="1:18">
      <c r="A430" s="1" t="s">
        <v>566</v>
      </c>
      <c r="B430" s="6" t="s">
        <v>51</v>
      </c>
      <c r="C430" s="7">
        <v>45255</v>
      </c>
      <c r="D430" s="25">
        <f t="shared" si="12"/>
        <v>11</v>
      </c>
      <c r="E430" s="25">
        <f t="shared" si="13"/>
        <v>2023</v>
      </c>
      <c r="F430" s="7" t="s">
        <v>100</v>
      </c>
      <c r="G430" s="4" t="s">
        <v>111</v>
      </c>
      <c r="H430" s="4" t="s">
        <v>121</v>
      </c>
      <c r="I430" s="9">
        <v>3042</v>
      </c>
      <c r="J430" s="9" t="s">
        <v>136</v>
      </c>
      <c r="K430" s="8">
        <v>45256</v>
      </c>
      <c r="L430" s="21">
        <v>760.5</v>
      </c>
      <c r="M430" s="8">
        <v>45285</v>
      </c>
      <c r="N430" s="21">
        <v>760.5</v>
      </c>
      <c r="O430" s="8">
        <v>45300</v>
      </c>
      <c r="P430" s="21">
        <v>760.5</v>
      </c>
      <c r="Q430" s="8">
        <v>45315</v>
      </c>
      <c r="R430" s="28">
        <v>760.5</v>
      </c>
    </row>
    <row r="431" spans="1:18">
      <c r="A431" s="1" t="s">
        <v>567</v>
      </c>
      <c r="B431" s="6" t="s">
        <v>16</v>
      </c>
      <c r="C431" s="7">
        <v>45271</v>
      </c>
      <c r="D431" s="25">
        <f t="shared" si="12"/>
        <v>12</v>
      </c>
      <c r="E431" s="25">
        <f t="shared" si="13"/>
        <v>2023</v>
      </c>
      <c r="F431" s="7" t="s">
        <v>65</v>
      </c>
      <c r="G431" s="4" t="s">
        <v>110</v>
      </c>
      <c r="H431" s="4" t="s">
        <v>125</v>
      </c>
      <c r="I431" s="9">
        <v>4050</v>
      </c>
      <c r="J431" s="9" t="s">
        <v>126</v>
      </c>
      <c r="K431" s="8">
        <v>45272</v>
      </c>
      <c r="L431" s="21">
        <v>4050</v>
      </c>
      <c r="M431" s="8"/>
      <c r="N431" s="21"/>
      <c r="O431" s="8"/>
      <c r="P431" s="21"/>
      <c r="Q431" s="8"/>
      <c r="R431" s="28"/>
    </row>
    <row r="432" spans="1:18">
      <c r="A432" s="1" t="s">
        <v>568</v>
      </c>
      <c r="B432" s="6" t="s">
        <v>13</v>
      </c>
      <c r="C432" s="7">
        <v>45280</v>
      </c>
      <c r="D432" s="25">
        <f t="shared" si="12"/>
        <v>12</v>
      </c>
      <c r="E432" s="25">
        <f t="shared" si="13"/>
        <v>2023</v>
      </c>
      <c r="F432" s="7" t="s">
        <v>63</v>
      </c>
      <c r="G432" s="4" t="s">
        <v>111</v>
      </c>
      <c r="H432" s="4" t="s">
        <v>120</v>
      </c>
      <c r="I432" s="9">
        <v>3048</v>
      </c>
      <c r="J432" s="9" t="s">
        <v>136</v>
      </c>
      <c r="K432" s="8">
        <v>45281</v>
      </c>
      <c r="L432" s="21">
        <v>762</v>
      </c>
      <c r="M432" s="8">
        <v>45310</v>
      </c>
      <c r="N432" s="21">
        <v>762</v>
      </c>
      <c r="O432" s="8">
        <v>45325</v>
      </c>
      <c r="P432" s="21">
        <v>762</v>
      </c>
      <c r="Q432" s="8">
        <v>45340</v>
      </c>
      <c r="R432" s="28">
        <v>762</v>
      </c>
    </row>
    <row r="433" spans="1:18">
      <c r="A433" s="1" t="s">
        <v>569</v>
      </c>
      <c r="B433" s="6" t="s">
        <v>14</v>
      </c>
      <c r="C433" s="7">
        <v>45306</v>
      </c>
      <c r="D433" s="25">
        <f t="shared" si="12"/>
        <v>1</v>
      </c>
      <c r="E433" s="25">
        <f t="shared" si="13"/>
        <v>2024</v>
      </c>
      <c r="F433" s="7" t="s">
        <v>61</v>
      </c>
      <c r="G433" s="4" t="s">
        <v>110</v>
      </c>
      <c r="H433" s="4" t="s">
        <v>113</v>
      </c>
      <c r="I433" s="9">
        <v>3601</v>
      </c>
      <c r="J433" s="9" t="s">
        <v>126</v>
      </c>
      <c r="K433" s="8">
        <v>45307</v>
      </c>
      <c r="L433" s="21">
        <v>3601</v>
      </c>
      <c r="M433" s="8"/>
      <c r="N433" s="21"/>
      <c r="O433" s="8"/>
      <c r="P433" s="21"/>
      <c r="Q433" s="8"/>
      <c r="R433" s="28"/>
    </row>
    <row r="434" spans="1:18">
      <c r="A434" s="1" t="s">
        <v>570</v>
      </c>
      <c r="B434" s="6" t="s">
        <v>50</v>
      </c>
      <c r="C434" s="7">
        <v>45178</v>
      </c>
      <c r="D434" s="25">
        <f t="shared" si="12"/>
        <v>9</v>
      </c>
      <c r="E434" s="25">
        <f t="shared" si="13"/>
        <v>2023</v>
      </c>
      <c r="F434" s="7" t="s">
        <v>99</v>
      </c>
      <c r="G434" s="4" t="s">
        <v>110</v>
      </c>
      <c r="H434" s="4" t="s">
        <v>114</v>
      </c>
      <c r="I434" s="9">
        <v>2213</v>
      </c>
      <c r="J434" s="9" t="s">
        <v>136</v>
      </c>
      <c r="K434" s="8">
        <v>45179</v>
      </c>
      <c r="L434" s="21">
        <v>553.25</v>
      </c>
      <c r="M434" s="8">
        <v>45208</v>
      </c>
      <c r="N434" s="21">
        <v>553.25</v>
      </c>
      <c r="O434" s="8">
        <v>45223</v>
      </c>
      <c r="P434" s="21">
        <v>553.25</v>
      </c>
      <c r="Q434" s="8">
        <v>45238</v>
      </c>
      <c r="R434" s="28">
        <v>553.25</v>
      </c>
    </row>
    <row r="435" spans="1:18">
      <c r="A435" s="1" t="s">
        <v>571</v>
      </c>
      <c r="B435" s="6" t="s">
        <v>24</v>
      </c>
      <c r="C435" s="7">
        <v>45204</v>
      </c>
      <c r="D435" s="25">
        <f t="shared" si="12"/>
        <v>10</v>
      </c>
      <c r="E435" s="25">
        <f t="shared" si="13"/>
        <v>2023</v>
      </c>
      <c r="F435" s="7" t="s">
        <v>73</v>
      </c>
      <c r="G435" s="4" t="s">
        <v>112</v>
      </c>
      <c r="H435" s="4" t="s">
        <v>122</v>
      </c>
      <c r="I435" s="9">
        <v>8007</v>
      </c>
      <c r="J435" s="9" t="s">
        <v>126</v>
      </c>
      <c r="K435" s="8">
        <v>45205</v>
      </c>
      <c r="L435" s="21">
        <v>8007</v>
      </c>
      <c r="M435" s="8"/>
      <c r="N435" s="21"/>
      <c r="O435" s="8"/>
      <c r="P435" s="21"/>
      <c r="Q435" s="8"/>
      <c r="R435" s="28"/>
    </row>
    <row r="436" spans="1:18">
      <c r="A436" s="1" t="s">
        <v>572</v>
      </c>
      <c r="B436" s="6" t="s">
        <v>51</v>
      </c>
      <c r="C436" s="7">
        <v>45442</v>
      </c>
      <c r="D436" s="25">
        <f t="shared" si="12"/>
        <v>5</v>
      </c>
      <c r="E436" s="25">
        <f t="shared" si="13"/>
        <v>2024</v>
      </c>
      <c r="F436" s="7" t="s">
        <v>100</v>
      </c>
      <c r="G436" s="4" t="s">
        <v>111</v>
      </c>
      <c r="H436" s="4" t="s">
        <v>121</v>
      </c>
      <c r="I436" s="9">
        <v>8142</v>
      </c>
      <c r="J436" s="9" t="s">
        <v>137</v>
      </c>
      <c r="K436" s="8">
        <v>45443</v>
      </c>
      <c r="L436" s="21">
        <v>2714</v>
      </c>
      <c r="M436" s="8">
        <v>45472</v>
      </c>
      <c r="N436" s="21">
        <v>2714</v>
      </c>
      <c r="O436" s="8">
        <v>45487</v>
      </c>
      <c r="P436" s="21">
        <v>2714</v>
      </c>
      <c r="Q436" s="8"/>
      <c r="R436" s="28"/>
    </row>
    <row r="437" spans="1:18">
      <c r="A437" s="1" t="s">
        <v>573</v>
      </c>
      <c r="B437" s="6" t="s">
        <v>23</v>
      </c>
      <c r="C437" s="7">
        <v>45258</v>
      </c>
      <c r="D437" s="25">
        <f t="shared" si="12"/>
        <v>11</v>
      </c>
      <c r="E437" s="25">
        <f t="shared" si="13"/>
        <v>2023</v>
      </c>
      <c r="F437" s="7" t="s">
        <v>72</v>
      </c>
      <c r="G437" s="4" t="s">
        <v>110</v>
      </c>
      <c r="H437" s="4" t="s">
        <v>113</v>
      </c>
      <c r="I437" s="9">
        <v>6611</v>
      </c>
      <c r="J437" s="9" t="s">
        <v>137</v>
      </c>
      <c r="K437" s="8">
        <v>45259</v>
      </c>
      <c r="L437" s="21">
        <v>2203.6666666666665</v>
      </c>
      <c r="M437" s="8">
        <v>45288</v>
      </c>
      <c r="N437" s="21">
        <v>2203.6666666666665</v>
      </c>
      <c r="O437" s="8">
        <v>45303</v>
      </c>
      <c r="P437" s="21">
        <v>2203.6666666666665</v>
      </c>
      <c r="Q437" s="8"/>
      <c r="R437" s="28"/>
    </row>
    <row r="438" spans="1:18">
      <c r="A438" s="1" t="s">
        <v>574</v>
      </c>
      <c r="B438" s="6" t="s">
        <v>49</v>
      </c>
      <c r="C438" s="7">
        <v>45159</v>
      </c>
      <c r="D438" s="25">
        <f t="shared" si="12"/>
        <v>8</v>
      </c>
      <c r="E438" s="25">
        <f t="shared" si="13"/>
        <v>2023</v>
      </c>
      <c r="F438" s="7" t="s">
        <v>98</v>
      </c>
      <c r="G438" s="4" t="s">
        <v>110</v>
      </c>
      <c r="H438" s="4" t="s">
        <v>125</v>
      </c>
      <c r="I438" s="9">
        <v>4532</v>
      </c>
      <c r="J438" s="9" t="s">
        <v>137</v>
      </c>
      <c r="K438" s="8">
        <v>45160</v>
      </c>
      <c r="L438" s="21">
        <v>1510.6666666666667</v>
      </c>
      <c r="M438" s="8">
        <v>45189</v>
      </c>
      <c r="N438" s="21">
        <v>1510.6666666666667</v>
      </c>
      <c r="O438" s="8">
        <v>45204</v>
      </c>
      <c r="P438" s="21">
        <v>1510.6666666666667</v>
      </c>
      <c r="Q438" s="8"/>
      <c r="R438" s="28"/>
    </row>
    <row r="439" spans="1:18">
      <c r="A439" s="1" t="s">
        <v>575</v>
      </c>
      <c r="B439" s="6" t="s">
        <v>58</v>
      </c>
      <c r="C439" s="7">
        <v>45316</v>
      </c>
      <c r="D439" s="25">
        <f t="shared" si="12"/>
        <v>1</v>
      </c>
      <c r="E439" s="25">
        <f t="shared" si="13"/>
        <v>2024</v>
      </c>
      <c r="F439" s="7" t="s">
        <v>107</v>
      </c>
      <c r="G439" s="4" t="s">
        <v>111</v>
      </c>
      <c r="H439" s="4" t="s">
        <v>120</v>
      </c>
      <c r="I439" s="9">
        <v>4881</v>
      </c>
      <c r="J439" s="9" t="s">
        <v>137</v>
      </c>
      <c r="K439" s="8">
        <v>45317</v>
      </c>
      <c r="L439" s="21">
        <v>1627</v>
      </c>
      <c r="M439" s="8">
        <v>45346</v>
      </c>
      <c r="N439" s="21">
        <v>1627</v>
      </c>
      <c r="O439" s="8">
        <v>45361</v>
      </c>
      <c r="P439" s="21">
        <v>1627</v>
      </c>
      <c r="Q439" s="8"/>
      <c r="R439" s="28"/>
    </row>
    <row r="440" spans="1:18">
      <c r="A440" s="1" t="s">
        <v>576</v>
      </c>
      <c r="B440" s="6" t="s">
        <v>56</v>
      </c>
      <c r="C440" s="7">
        <v>45484</v>
      </c>
      <c r="D440" s="25">
        <f t="shared" si="12"/>
        <v>7</v>
      </c>
      <c r="E440" s="25">
        <f t="shared" si="13"/>
        <v>2024</v>
      </c>
      <c r="F440" s="7" t="s">
        <v>105</v>
      </c>
      <c r="G440" s="4" t="s">
        <v>110</v>
      </c>
      <c r="H440" s="4" t="s">
        <v>113</v>
      </c>
      <c r="I440" s="9">
        <v>708</v>
      </c>
      <c r="J440" s="9" t="s">
        <v>138</v>
      </c>
      <c r="K440" s="8">
        <v>45485</v>
      </c>
      <c r="L440" s="21">
        <v>354</v>
      </c>
      <c r="M440" s="8">
        <v>45514</v>
      </c>
      <c r="N440" s="21">
        <v>354</v>
      </c>
      <c r="O440" s="8"/>
      <c r="P440" s="21"/>
      <c r="Q440" s="8"/>
      <c r="R440" s="28"/>
    </row>
    <row r="441" spans="1:18">
      <c r="A441" s="1" t="s">
        <v>577</v>
      </c>
      <c r="B441" s="6" t="s">
        <v>32</v>
      </c>
      <c r="C441" s="7">
        <v>45375</v>
      </c>
      <c r="D441" s="25">
        <f t="shared" si="12"/>
        <v>3</v>
      </c>
      <c r="E441" s="25">
        <f t="shared" si="13"/>
        <v>2024</v>
      </c>
      <c r="F441" s="7" t="s">
        <v>81</v>
      </c>
      <c r="G441" s="4" t="s">
        <v>110</v>
      </c>
      <c r="H441" s="4" t="s">
        <v>124</v>
      </c>
      <c r="I441" s="9">
        <v>2981</v>
      </c>
      <c r="J441" s="9" t="s">
        <v>136</v>
      </c>
      <c r="K441" s="8">
        <v>45376</v>
      </c>
      <c r="L441" s="21">
        <v>745.25</v>
      </c>
      <c r="M441" s="8">
        <v>45405</v>
      </c>
      <c r="N441" s="21">
        <v>745.25</v>
      </c>
      <c r="O441" s="8">
        <v>45420</v>
      </c>
      <c r="P441" s="21">
        <v>745.25</v>
      </c>
      <c r="Q441" s="8">
        <v>45435</v>
      </c>
      <c r="R441" s="28">
        <v>745.25</v>
      </c>
    </row>
    <row r="442" spans="1:18">
      <c r="A442" s="1" t="s">
        <v>578</v>
      </c>
      <c r="B442" s="6" t="s">
        <v>41</v>
      </c>
      <c r="C442" s="7">
        <v>45211</v>
      </c>
      <c r="D442" s="25">
        <f t="shared" si="12"/>
        <v>10</v>
      </c>
      <c r="E442" s="25">
        <f t="shared" si="13"/>
        <v>2023</v>
      </c>
      <c r="F442" s="7" t="s">
        <v>90</v>
      </c>
      <c r="G442" s="4" t="s">
        <v>111</v>
      </c>
      <c r="H442" s="4" t="s">
        <v>118</v>
      </c>
      <c r="I442" s="9">
        <v>5334</v>
      </c>
      <c r="J442" s="9" t="s">
        <v>126</v>
      </c>
      <c r="K442" s="8">
        <v>45212</v>
      </c>
      <c r="L442" s="21">
        <v>5334</v>
      </c>
      <c r="M442" s="8"/>
      <c r="N442" s="21"/>
      <c r="O442" s="8"/>
      <c r="P442" s="21"/>
      <c r="Q442" s="8"/>
      <c r="R442" s="28"/>
    </row>
    <row r="443" spans="1:18">
      <c r="A443" s="1" t="s">
        <v>579</v>
      </c>
      <c r="B443" s="6" t="s">
        <v>26</v>
      </c>
      <c r="C443" s="7">
        <v>45309</v>
      </c>
      <c r="D443" s="25">
        <f t="shared" si="12"/>
        <v>1</v>
      </c>
      <c r="E443" s="25">
        <f t="shared" si="13"/>
        <v>2024</v>
      </c>
      <c r="F443" s="7" t="s">
        <v>75</v>
      </c>
      <c r="G443" s="4" t="s">
        <v>112</v>
      </c>
      <c r="H443" s="4" t="s">
        <v>123</v>
      </c>
      <c r="I443" s="9">
        <v>3281</v>
      </c>
      <c r="J443" s="9" t="s">
        <v>126</v>
      </c>
      <c r="K443" s="8">
        <v>45310</v>
      </c>
      <c r="L443" s="21">
        <v>3281</v>
      </c>
      <c r="M443" s="8"/>
      <c r="N443" s="21"/>
      <c r="O443" s="8"/>
      <c r="P443" s="21"/>
      <c r="Q443" s="8"/>
      <c r="R443" s="28"/>
    </row>
    <row r="444" spans="1:18">
      <c r="A444" s="1" t="s">
        <v>580</v>
      </c>
      <c r="B444" s="6" t="s">
        <v>60</v>
      </c>
      <c r="C444" s="7">
        <v>45281</v>
      </c>
      <c r="D444" s="25">
        <f t="shared" si="12"/>
        <v>12</v>
      </c>
      <c r="E444" s="25">
        <f t="shared" si="13"/>
        <v>2023</v>
      </c>
      <c r="F444" s="7" t="s">
        <v>109</v>
      </c>
      <c r="G444" s="4" t="s">
        <v>111</v>
      </c>
      <c r="H444" s="4" t="s">
        <v>118</v>
      </c>
      <c r="I444" s="9">
        <v>7392</v>
      </c>
      <c r="J444" s="9" t="s">
        <v>138</v>
      </c>
      <c r="K444" s="8">
        <v>45282</v>
      </c>
      <c r="L444" s="21">
        <v>3696</v>
      </c>
      <c r="M444" s="8">
        <v>45311</v>
      </c>
      <c r="N444" s="21">
        <v>3696</v>
      </c>
      <c r="O444" s="8"/>
      <c r="P444" s="21"/>
      <c r="Q444" s="8"/>
      <c r="R444" s="28"/>
    </row>
    <row r="445" spans="1:18">
      <c r="A445" s="1" t="s">
        <v>581</v>
      </c>
      <c r="B445" s="6" t="s">
        <v>52</v>
      </c>
      <c r="C445" s="7">
        <v>45408</v>
      </c>
      <c r="D445" s="25">
        <f t="shared" si="12"/>
        <v>4</v>
      </c>
      <c r="E445" s="25">
        <f t="shared" si="13"/>
        <v>2024</v>
      </c>
      <c r="F445" s="7" t="s">
        <v>101</v>
      </c>
      <c r="G445" s="4" t="s">
        <v>111</v>
      </c>
      <c r="H445" s="4" t="s">
        <v>118</v>
      </c>
      <c r="I445" s="9">
        <v>3364</v>
      </c>
      <c r="J445" s="9" t="s">
        <v>136</v>
      </c>
      <c r="K445" s="8">
        <v>45409</v>
      </c>
      <c r="L445" s="21">
        <v>841</v>
      </c>
      <c r="M445" s="8">
        <v>45438</v>
      </c>
      <c r="N445" s="21">
        <v>841</v>
      </c>
      <c r="O445" s="8">
        <v>45453</v>
      </c>
      <c r="P445" s="21">
        <v>841</v>
      </c>
      <c r="Q445" s="8">
        <v>45468</v>
      </c>
      <c r="R445" s="28">
        <v>841</v>
      </c>
    </row>
    <row r="446" spans="1:18">
      <c r="A446" s="1" t="s">
        <v>582</v>
      </c>
      <c r="B446" s="6" t="s">
        <v>21</v>
      </c>
      <c r="C446" s="7">
        <v>45291</v>
      </c>
      <c r="D446" s="25">
        <f t="shared" si="12"/>
        <v>12</v>
      </c>
      <c r="E446" s="25">
        <f t="shared" si="13"/>
        <v>2023</v>
      </c>
      <c r="F446" s="7" t="s">
        <v>70</v>
      </c>
      <c r="G446" s="4" t="s">
        <v>110</v>
      </c>
      <c r="H446" s="4" t="s">
        <v>124</v>
      </c>
      <c r="I446" s="9">
        <v>870</v>
      </c>
      <c r="J446" s="9" t="s">
        <v>126</v>
      </c>
      <c r="K446" s="8">
        <v>45292</v>
      </c>
      <c r="L446" s="21">
        <v>870</v>
      </c>
      <c r="M446" s="8"/>
      <c r="N446" s="21"/>
      <c r="O446" s="8"/>
      <c r="P446" s="21"/>
      <c r="Q446" s="8"/>
      <c r="R446" s="28"/>
    </row>
    <row r="447" spans="1:18">
      <c r="A447" s="1" t="s">
        <v>583</v>
      </c>
      <c r="B447" s="6" t="s">
        <v>38</v>
      </c>
      <c r="C447" s="7">
        <v>45477</v>
      </c>
      <c r="D447" s="25">
        <f t="shared" si="12"/>
        <v>7</v>
      </c>
      <c r="E447" s="25">
        <f t="shared" si="13"/>
        <v>2024</v>
      </c>
      <c r="F447" s="7" t="s">
        <v>87</v>
      </c>
      <c r="G447" s="4" t="s">
        <v>110</v>
      </c>
      <c r="H447" s="4" t="s">
        <v>125</v>
      </c>
      <c r="I447" s="9">
        <v>5221</v>
      </c>
      <c r="J447" s="9" t="s">
        <v>126</v>
      </c>
      <c r="K447" s="8">
        <v>45478</v>
      </c>
      <c r="L447" s="21">
        <v>5221</v>
      </c>
      <c r="M447" s="8"/>
      <c r="N447" s="21"/>
      <c r="O447" s="8"/>
      <c r="P447" s="21"/>
      <c r="Q447" s="8"/>
      <c r="R447" s="28"/>
    </row>
    <row r="448" spans="1:18">
      <c r="A448" s="1" t="s">
        <v>584</v>
      </c>
      <c r="B448" s="6" t="s">
        <v>14</v>
      </c>
      <c r="C448" s="7">
        <v>45222</v>
      </c>
      <c r="D448" s="25">
        <f t="shared" si="12"/>
        <v>10</v>
      </c>
      <c r="E448" s="25">
        <f t="shared" si="13"/>
        <v>2023</v>
      </c>
      <c r="F448" s="7" t="s">
        <v>61</v>
      </c>
      <c r="G448" s="4" t="s">
        <v>110</v>
      </c>
      <c r="H448" s="4" t="s">
        <v>113</v>
      </c>
      <c r="I448" s="9">
        <v>8538</v>
      </c>
      <c r="J448" s="9" t="s">
        <v>126</v>
      </c>
      <c r="K448" s="8">
        <v>45223</v>
      </c>
      <c r="L448" s="21">
        <v>8538</v>
      </c>
      <c r="M448" s="8"/>
      <c r="N448" s="21"/>
      <c r="O448" s="8"/>
      <c r="P448" s="21"/>
      <c r="Q448" s="8"/>
      <c r="R448" s="28"/>
    </row>
    <row r="449" spans="1:18">
      <c r="A449" s="1" t="s">
        <v>585</v>
      </c>
      <c r="B449" s="6" t="s">
        <v>12</v>
      </c>
      <c r="C449" s="7">
        <v>45322</v>
      </c>
      <c r="D449" s="25">
        <f t="shared" si="12"/>
        <v>1</v>
      </c>
      <c r="E449" s="25">
        <f t="shared" si="13"/>
        <v>2024</v>
      </c>
      <c r="F449" s="7" t="s">
        <v>62</v>
      </c>
      <c r="G449" s="4" t="s">
        <v>112</v>
      </c>
      <c r="H449" s="4" t="s">
        <v>122</v>
      </c>
      <c r="I449" s="9">
        <v>1688</v>
      </c>
      <c r="J449" s="9" t="s">
        <v>126</v>
      </c>
      <c r="K449" s="8">
        <v>45323</v>
      </c>
      <c r="L449" s="21">
        <v>1688</v>
      </c>
      <c r="M449" s="8"/>
      <c r="N449" s="21"/>
      <c r="O449" s="8"/>
      <c r="P449" s="21"/>
      <c r="Q449" s="8"/>
      <c r="R449" s="28"/>
    </row>
    <row r="450" spans="1:18">
      <c r="A450" s="1" t="s">
        <v>586</v>
      </c>
      <c r="B450" s="6" t="s">
        <v>44</v>
      </c>
      <c r="C450" s="7">
        <v>45079</v>
      </c>
      <c r="D450" s="25">
        <f t="shared" si="12"/>
        <v>6</v>
      </c>
      <c r="E450" s="25">
        <f t="shared" si="13"/>
        <v>2023</v>
      </c>
      <c r="F450" s="7" t="s">
        <v>93</v>
      </c>
      <c r="G450" s="4" t="s">
        <v>111</v>
      </c>
      <c r="H450" s="4" t="s">
        <v>119</v>
      </c>
      <c r="I450" s="9">
        <v>1112</v>
      </c>
      <c r="J450" s="9" t="s">
        <v>137</v>
      </c>
      <c r="K450" s="8">
        <v>45080</v>
      </c>
      <c r="L450" s="21">
        <v>370.66666666666669</v>
      </c>
      <c r="M450" s="8">
        <v>45109</v>
      </c>
      <c r="N450" s="21">
        <v>370.66666666666669</v>
      </c>
      <c r="O450" s="8">
        <v>45124</v>
      </c>
      <c r="P450" s="21">
        <v>370.66666666666669</v>
      </c>
      <c r="Q450" s="8"/>
      <c r="R450" s="28"/>
    </row>
    <row r="451" spans="1:18">
      <c r="A451" s="1" t="s">
        <v>587</v>
      </c>
      <c r="B451" s="6" t="s">
        <v>47</v>
      </c>
      <c r="C451" s="7">
        <v>45304</v>
      </c>
      <c r="D451" s="25">
        <f t="shared" si="12"/>
        <v>1</v>
      </c>
      <c r="E451" s="25">
        <f t="shared" si="13"/>
        <v>2024</v>
      </c>
      <c r="F451" s="7" t="s">
        <v>96</v>
      </c>
      <c r="G451" s="4" t="s">
        <v>111</v>
      </c>
      <c r="H451" s="4" t="s">
        <v>120</v>
      </c>
      <c r="I451" s="9">
        <v>8387</v>
      </c>
      <c r="J451" s="9" t="s">
        <v>126</v>
      </c>
      <c r="K451" s="8">
        <v>45305</v>
      </c>
      <c r="L451" s="21">
        <v>8387</v>
      </c>
      <c r="M451" s="8"/>
      <c r="N451" s="21"/>
      <c r="O451" s="8"/>
      <c r="P451" s="21"/>
      <c r="Q451" s="8"/>
      <c r="R451" s="28"/>
    </row>
    <row r="452" spans="1:18">
      <c r="A452" s="1" t="s">
        <v>588</v>
      </c>
      <c r="B452" s="6" t="s">
        <v>41</v>
      </c>
      <c r="C452" s="7">
        <v>45295</v>
      </c>
      <c r="D452" s="25">
        <f t="shared" ref="D452:D501" si="14">MONTH(C452)</f>
        <v>1</v>
      </c>
      <c r="E452" s="25">
        <f t="shared" ref="E452:E501" si="15">YEAR(C452)</f>
        <v>2024</v>
      </c>
      <c r="F452" s="7" t="s">
        <v>90</v>
      </c>
      <c r="G452" s="4" t="s">
        <v>111</v>
      </c>
      <c r="H452" s="4" t="s">
        <v>118</v>
      </c>
      <c r="I452" s="9">
        <v>1802</v>
      </c>
      <c r="J452" s="9" t="s">
        <v>138</v>
      </c>
      <c r="K452" s="8">
        <v>45296</v>
      </c>
      <c r="L452" s="21">
        <v>901</v>
      </c>
      <c r="M452" s="8">
        <v>45325</v>
      </c>
      <c r="N452" s="21">
        <v>901</v>
      </c>
      <c r="O452" s="8"/>
      <c r="P452" s="21"/>
      <c r="Q452" s="8"/>
      <c r="R452" s="28"/>
    </row>
    <row r="453" spans="1:18">
      <c r="A453" s="1" t="s">
        <v>589</v>
      </c>
      <c r="B453" s="6" t="s">
        <v>23</v>
      </c>
      <c r="C453" s="7">
        <v>45187</v>
      </c>
      <c r="D453" s="25">
        <f t="shared" si="14"/>
        <v>9</v>
      </c>
      <c r="E453" s="25">
        <f t="shared" si="15"/>
        <v>2023</v>
      </c>
      <c r="F453" s="7" t="s">
        <v>72</v>
      </c>
      <c r="G453" s="4" t="s">
        <v>110</v>
      </c>
      <c r="H453" s="4" t="s">
        <v>113</v>
      </c>
      <c r="I453" s="9">
        <v>5788</v>
      </c>
      <c r="J453" s="9" t="s">
        <v>138</v>
      </c>
      <c r="K453" s="8">
        <v>45188</v>
      </c>
      <c r="L453" s="21">
        <v>2894</v>
      </c>
      <c r="M453" s="8">
        <v>45217</v>
      </c>
      <c r="N453" s="21">
        <v>2894</v>
      </c>
      <c r="O453" s="8"/>
      <c r="P453" s="21"/>
      <c r="Q453" s="8"/>
      <c r="R453" s="28"/>
    </row>
    <row r="454" spans="1:18">
      <c r="A454" s="1" t="s">
        <v>590</v>
      </c>
      <c r="B454" s="6" t="s">
        <v>17</v>
      </c>
      <c r="C454" s="7">
        <v>45254</v>
      </c>
      <c r="D454" s="25">
        <f t="shared" si="14"/>
        <v>11</v>
      </c>
      <c r="E454" s="25">
        <f t="shared" si="15"/>
        <v>2023</v>
      </c>
      <c r="F454" s="7" t="s">
        <v>66</v>
      </c>
      <c r="G454" s="4" t="s">
        <v>110</v>
      </c>
      <c r="H454" s="4" t="s">
        <v>114</v>
      </c>
      <c r="I454" s="9">
        <v>5519</v>
      </c>
      <c r="J454" s="9" t="s">
        <v>136</v>
      </c>
      <c r="K454" s="8">
        <v>45255</v>
      </c>
      <c r="L454" s="21">
        <v>1379.75</v>
      </c>
      <c r="M454" s="8">
        <v>45284</v>
      </c>
      <c r="N454" s="21">
        <v>1379.75</v>
      </c>
      <c r="O454" s="8">
        <v>45299</v>
      </c>
      <c r="P454" s="21">
        <v>1379.75</v>
      </c>
      <c r="Q454" s="8">
        <v>45314</v>
      </c>
      <c r="R454" s="28">
        <v>1379.75</v>
      </c>
    </row>
    <row r="455" spans="1:18">
      <c r="A455" s="1" t="s">
        <v>591</v>
      </c>
      <c r="B455" s="6" t="s">
        <v>41</v>
      </c>
      <c r="C455" s="7">
        <v>45006</v>
      </c>
      <c r="D455" s="25">
        <f t="shared" si="14"/>
        <v>3</v>
      </c>
      <c r="E455" s="25">
        <f t="shared" si="15"/>
        <v>2023</v>
      </c>
      <c r="F455" s="7" t="s">
        <v>90</v>
      </c>
      <c r="G455" s="4" t="s">
        <v>111</v>
      </c>
      <c r="H455" s="4" t="s">
        <v>118</v>
      </c>
      <c r="I455" s="9">
        <v>9182</v>
      </c>
      <c r="J455" s="9" t="s">
        <v>126</v>
      </c>
      <c r="K455" s="8">
        <v>45007</v>
      </c>
      <c r="L455" s="21">
        <v>9182</v>
      </c>
      <c r="M455" s="8"/>
      <c r="N455" s="21"/>
      <c r="O455" s="8"/>
      <c r="P455" s="21"/>
      <c r="Q455" s="8"/>
      <c r="R455" s="28"/>
    </row>
    <row r="456" spans="1:18">
      <c r="A456" s="1" t="s">
        <v>592</v>
      </c>
      <c r="B456" s="6" t="s">
        <v>21</v>
      </c>
      <c r="C456" s="7">
        <v>45171</v>
      </c>
      <c r="D456" s="25">
        <f t="shared" si="14"/>
        <v>9</v>
      </c>
      <c r="E456" s="25">
        <f t="shared" si="15"/>
        <v>2023</v>
      </c>
      <c r="F456" s="7" t="s">
        <v>70</v>
      </c>
      <c r="G456" s="4" t="s">
        <v>110</v>
      </c>
      <c r="H456" s="4" t="s">
        <v>124</v>
      </c>
      <c r="I456" s="9">
        <v>3154</v>
      </c>
      <c r="J456" s="9" t="s">
        <v>136</v>
      </c>
      <c r="K456" s="8">
        <v>45172</v>
      </c>
      <c r="L456" s="21">
        <v>788.5</v>
      </c>
      <c r="M456" s="8">
        <v>45201</v>
      </c>
      <c r="N456" s="21">
        <v>788.5</v>
      </c>
      <c r="O456" s="8">
        <v>45216</v>
      </c>
      <c r="P456" s="21">
        <v>788.5</v>
      </c>
      <c r="Q456" s="8">
        <v>45231</v>
      </c>
      <c r="R456" s="28">
        <v>788.5</v>
      </c>
    </row>
    <row r="457" spans="1:18">
      <c r="A457" s="1" t="s">
        <v>593</v>
      </c>
      <c r="B457" s="6" t="s">
        <v>37</v>
      </c>
      <c r="C457" s="7">
        <v>45437</v>
      </c>
      <c r="D457" s="25">
        <f t="shared" si="14"/>
        <v>5</v>
      </c>
      <c r="E457" s="25">
        <f t="shared" si="15"/>
        <v>2024</v>
      </c>
      <c r="F457" s="7" t="s">
        <v>86</v>
      </c>
      <c r="G457" s="4" t="s">
        <v>112</v>
      </c>
      <c r="H457" s="4" t="s">
        <v>123</v>
      </c>
      <c r="I457" s="9">
        <v>6164</v>
      </c>
      <c r="J457" s="9" t="s">
        <v>126</v>
      </c>
      <c r="K457" s="8">
        <v>45438</v>
      </c>
      <c r="L457" s="21">
        <v>6164</v>
      </c>
      <c r="M457" s="8"/>
      <c r="N457" s="21"/>
      <c r="O457" s="8"/>
      <c r="P457" s="21"/>
      <c r="Q457" s="8"/>
      <c r="R457" s="28"/>
    </row>
    <row r="458" spans="1:18">
      <c r="A458" s="1" t="s">
        <v>594</v>
      </c>
      <c r="B458" s="6" t="s">
        <v>18</v>
      </c>
      <c r="C458" s="7">
        <v>45507</v>
      </c>
      <c r="D458" s="25">
        <f t="shared" si="14"/>
        <v>8</v>
      </c>
      <c r="E458" s="25">
        <f t="shared" si="15"/>
        <v>2024</v>
      </c>
      <c r="F458" s="7" t="s">
        <v>67</v>
      </c>
      <c r="G458" s="4" t="s">
        <v>111</v>
      </c>
      <c r="H458" s="4" t="s">
        <v>121</v>
      </c>
      <c r="I458" s="9">
        <v>3859</v>
      </c>
      <c r="J458" s="9" t="s">
        <v>126</v>
      </c>
      <c r="K458" s="8">
        <v>45508</v>
      </c>
      <c r="L458" s="21">
        <v>3859</v>
      </c>
      <c r="M458" s="8"/>
      <c r="N458" s="21"/>
      <c r="O458" s="8"/>
      <c r="P458" s="21"/>
      <c r="Q458" s="8"/>
      <c r="R458" s="28"/>
    </row>
    <row r="459" spans="1:18">
      <c r="A459" s="1" t="s">
        <v>595</v>
      </c>
      <c r="B459" s="6" t="s">
        <v>24</v>
      </c>
      <c r="C459" s="7">
        <v>45410</v>
      </c>
      <c r="D459" s="25">
        <f t="shared" si="14"/>
        <v>4</v>
      </c>
      <c r="E459" s="25">
        <f t="shared" si="15"/>
        <v>2024</v>
      </c>
      <c r="F459" s="7" t="s">
        <v>73</v>
      </c>
      <c r="G459" s="4" t="s">
        <v>112</v>
      </c>
      <c r="H459" s="4" t="s">
        <v>122</v>
      </c>
      <c r="I459" s="9">
        <v>6257</v>
      </c>
      <c r="J459" s="9" t="s">
        <v>126</v>
      </c>
      <c r="K459" s="8">
        <v>45411</v>
      </c>
      <c r="L459" s="21">
        <v>6257</v>
      </c>
      <c r="M459" s="8"/>
      <c r="N459" s="21"/>
      <c r="O459" s="8"/>
      <c r="P459" s="21"/>
      <c r="Q459" s="8"/>
      <c r="R459" s="28"/>
    </row>
    <row r="460" spans="1:18">
      <c r="A460" s="1" t="s">
        <v>596</v>
      </c>
      <c r="B460" s="6" t="s">
        <v>48</v>
      </c>
      <c r="C460" s="7">
        <v>45117</v>
      </c>
      <c r="D460" s="25">
        <f t="shared" si="14"/>
        <v>7</v>
      </c>
      <c r="E460" s="25">
        <f t="shared" si="15"/>
        <v>2023</v>
      </c>
      <c r="F460" s="7" t="s">
        <v>97</v>
      </c>
      <c r="G460" s="4" t="s">
        <v>112</v>
      </c>
      <c r="H460" s="4" t="s">
        <v>123</v>
      </c>
      <c r="I460" s="9">
        <v>4081</v>
      </c>
      <c r="J460" s="9" t="s">
        <v>126</v>
      </c>
      <c r="K460" s="8">
        <v>45118</v>
      </c>
      <c r="L460" s="21">
        <v>4081</v>
      </c>
      <c r="M460" s="8"/>
      <c r="N460" s="21"/>
      <c r="O460" s="8"/>
      <c r="P460" s="21"/>
      <c r="Q460" s="8"/>
      <c r="R460" s="28"/>
    </row>
    <row r="461" spans="1:18">
      <c r="A461" s="1" t="s">
        <v>597</v>
      </c>
      <c r="B461" s="6" t="s">
        <v>34</v>
      </c>
      <c r="C461" s="7">
        <v>45346</v>
      </c>
      <c r="D461" s="25">
        <f t="shared" si="14"/>
        <v>2</v>
      </c>
      <c r="E461" s="25">
        <f t="shared" si="15"/>
        <v>2024</v>
      </c>
      <c r="F461" s="7" t="s">
        <v>83</v>
      </c>
      <c r="G461" s="4" t="s">
        <v>110</v>
      </c>
      <c r="H461" s="4" t="s">
        <v>113</v>
      </c>
      <c r="I461" s="9">
        <v>8508</v>
      </c>
      <c r="J461" s="9" t="s">
        <v>138</v>
      </c>
      <c r="K461" s="8">
        <v>45347</v>
      </c>
      <c r="L461" s="21">
        <v>4254</v>
      </c>
      <c r="M461" s="8">
        <v>45376</v>
      </c>
      <c r="N461" s="21">
        <v>4254</v>
      </c>
      <c r="O461" s="8"/>
      <c r="P461" s="21"/>
      <c r="Q461" s="8"/>
      <c r="R461" s="28"/>
    </row>
    <row r="462" spans="1:18">
      <c r="A462" s="1" t="s">
        <v>598</v>
      </c>
      <c r="B462" s="6" t="s">
        <v>21</v>
      </c>
      <c r="C462" s="7">
        <v>45311</v>
      </c>
      <c r="D462" s="25">
        <f t="shared" si="14"/>
        <v>1</v>
      </c>
      <c r="E462" s="25">
        <f t="shared" si="15"/>
        <v>2024</v>
      </c>
      <c r="F462" s="7" t="s">
        <v>70</v>
      </c>
      <c r="G462" s="4" t="s">
        <v>110</v>
      </c>
      <c r="H462" s="4" t="s">
        <v>124</v>
      </c>
      <c r="I462" s="9">
        <v>8975</v>
      </c>
      <c r="J462" s="9" t="s">
        <v>138</v>
      </c>
      <c r="K462" s="8">
        <v>45312</v>
      </c>
      <c r="L462" s="21">
        <v>4487.5</v>
      </c>
      <c r="M462" s="8">
        <v>45341</v>
      </c>
      <c r="N462" s="21">
        <v>4487.5</v>
      </c>
      <c r="O462" s="8"/>
      <c r="P462" s="21"/>
      <c r="Q462" s="8"/>
      <c r="R462" s="28"/>
    </row>
    <row r="463" spans="1:18">
      <c r="A463" s="1" t="s">
        <v>599</v>
      </c>
      <c r="B463" s="6" t="s">
        <v>35</v>
      </c>
      <c r="C463" s="7">
        <v>45378</v>
      </c>
      <c r="D463" s="25">
        <f t="shared" si="14"/>
        <v>3</v>
      </c>
      <c r="E463" s="25">
        <f t="shared" si="15"/>
        <v>2024</v>
      </c>
      <c r="F463" s="7" t="s">
        <v>84</v>
      </c>
      <c r="G463" s="4" t="s">
        <v>112</v>
      </c>
      <c r="H463" s="4" t="s">
        <v>122</v>
      </c>
      <c r="I463" s="9">
        <v>5195</v>
      </c>
      <c r="J463" s="9" t="s">
        <v>126</v>
      </c>
      <c r="K463" s="8">
        <v>45379</v>
      </c>
      <c r="L463" s="21">
        <v>5195</v>
      </c>
      <c r="M463" s="8"/>
      <c r="N463" s="21"/>
      <c r="O463" s="8"/>
      <c r="P463" s="21"/>
      <c r="Q463" s="8"/>
      <c r="R463" s="28"/>
    </row>
    <row r="464" spans="1:18">
      <c r="A464" s="1" t="s">
        <v>600</v>
      </c>
      <c r="B464" s="6" t="s">
        <v>46</v>
      </c>
      <c r="C464" s="7">
        <v>45332</v>
      </c>
      <c r="D464" s="25">
        <f t="shared" si="14"/>
        <v>2</v>
      </c>
      <c r="E464" s="25">
        <f t="shared" si="15"/>
        <v>2024</v>
      </c>
      <c r="F464" s="7" t="s">
        <v>95</v>
      </c>
      <c r="G464" s="4" t="s">
        <v>112</v>
      </c>
      <c r="H464" s="4" t="s">
        <v>122</v>
      </c>
      <c r="I464" s="9">
        <v>5649</v>
      </c>
      <c r="J464" s="9" t="s">
        <v>126</v>
      </c>
      <c r="K464" s="8">
        <v>45333</v>
      </c>
      <c r="L464" s="21">
        <v>5649</v>
      </c>
      <c r="M464" s="8"/>
      <c r="N464" s="21"/>
      <c r="O464" s="8"/>
      <c r="P464" s="21"/>
      <c r="Q464" s="8"/>
      <c r="R464" s="28"/>
    </row>
    <row r="465" spans="1:18">
      <c r="A465" s="1" t="s">
        <v>601</v>
      </c>
      <c r="B465" s="6" t="s">
        <v>47</v>
      </c>
      <c r="C465" s="7">
        <v>45543</v>
      </c>
      <c r="D465" s="25">
        <f t="shared" si="14"/>
        <v>9</v>
      </c>
      <c r="E465" s="25">
        <f t="shared" si="15"/>
        <v>2024</v>
      </c>
      <c r="F465" s="7" t="s">
        <v>96</v>
      </c>
      <c r="G465" s="4" t="s">
        <v>111</v>
      </c>
      <c r="H465" s="4" t="s">
        <v>120</v>
      </c>
      <c r="I465" s="9">
        <v>527</v>
      </c>
      <c r="J465" s="9" t="s">
        <v>137</v>
      </c>
      <c r="K465" s="8">
        <v>45544</v>
      </c>
      <c r="L465" s="21">
        <v>175.66666666666666</v>
      </c>
      <c r="M465" s="8">
        <v>45573</v>
      </c>
      <c r="N465" s="21">
        <v>175.66666666666666</v>
      </c>
      <c r="O465" s="8">
        <v>45588</v>
      </c>
      <c r="P465" s="21">
        <v>175.66666666666666</v>
      </c>
      <c r="Q465" s="8"/>
      <c r="R465" s="28"/>
    </row>
    <row r="466" spans="1:18">
      <c r="A466" s="1" t="s">
        <v>602</v>
      </c>
      <c r="B466" s="6" t="s">
        <v>42</v>
      </c>
      <c r="C466" s="7">
        <v>45404</v>
      </c>
      <c r="D466" s="25">
        <f t="shared" si="14"/>
        <v>4</v>
      </c>
      <c r="E466" s="25">
        <f t="shared" si="15"/>
        <v>2024</v>
      </c>
      <c r="F466" s="7" t="s">
        <v>91</v>
      </c>
      <c r="G466" s="4" t="s">
        <v>111</v>
      </c>
      <c r="H466" s="4" t="s">
        <v>117</v>
      </c>
      <c r="I466" s="9">
        <v>7277</v>
      </c>
      <c r="J466" s="9" t="s">
        <v>126</v>
      </c>
      <c r="K466" s="8">
        <v>45405</v>
      </c>
      <c r="L466" s="21">
        <v>7277</v>
      </c>
      <c r="M466" s="8"/>
      <c r="N466" s="21"/>
      <c r="O466" s="8"/>
      <c r="P466" s="21"/>
      <c r="Q466" s="8"/>
      <c r="R466" s="28"/>
    </row>
    <row r="467" spans="1:18">
      <c r="A467" s="1" t="s">
        <v>603</v>
      </c>
      <c r="B467" s="6" t="s">
        <v>24</v>
      </c>
      <c r="C467" s="7">
        <v>45271</v>
      </c>
      <c r="D467" s="25">
        <f t="shared" si="14"/>
        <v>12</v>
      </c>
      <c r="E467" s="25">
        <f t="shared" si="15"/>
        <v>2023</v>
      </c>
      <c r="F467" s="7" t="s">
        <v>73</v>
      </c>
      <c r="G467" s="4" t="s">
        <v>112</v>
      </c>
      <c r="H467" s="4" t="s">
        <v>122</v>
      </c>
      <c r="I467" s="9">
        <v>6242</v>
      </c>
      <c r="J467" s="9" t="s">
        <v>126</v>
      </c>
      <c r="K467" s="8">
        <v>45272</v>
      </c>
      <c r="L467" s="21">
        <v>6242</v>
      </c>
      <c r="M467" s="8"/>
      <c r="N467" s="21"/>
      <c r="O467" s="8"/>
      <c r="P467" s="21"/>
      <c r="Q467" s="8"/>
      <c r="R467" s="28"/>
    </row>
    <row r="468" spans="1:18">
      <c r="A468" s="1" t="s">
        <v>604</v>
      </c>
      <c r="B468" s="6" t="s">
        <v>38</v>
      </c>
      <c r="C468" s="7">
        <v>45270</v>
      </c>
      <c r="D468" s="25">
        <f t="shared" si="14"/>
        <v>12</v>
      </c>
      <c r="E468" s="25">
        <f t="shared" si="15"/>
        <v>2023</v>
      </c>
      <c r="F468" s="7" t="s">
        <v>87</v>
      </c>
      <c r="G468" s="4" t="s">
        <v>110</v>
      </c>
      <c r="H468" s="4" t="s">
        <v>125</v>
      </c>
      <c r="I468" s="9">
        <v>9670</v>
      </c>
      <c r="J468" s="9" t="s">
        <v>138</v>
      </c>
      <c r="K468" s="8">
        <v>45271</v>
      </c>
      <c r="L468" s="21">
        <v>4835</v>
      </c>
      <c r="M468" s="8">
        <v>45300</v>
      </c>
      <c r="N468" s="21">
        <v>4835</v>
      </c>
      <c r="O468" s="8"/>
      <c r="P468" s="21"/>
      <c r="Q468" s="8"/>
      <c r="R468" s="28"/>
    </row>
    <row r="469" spans="1:18">
      <c r="A469" s="1" t="s">
        <v>605</v>
      </c>
      <c r="B469" s="6" t="s">
        <v>52</v>
      </c>
      <c r="C469" s="7">
        <v>45200</v>
      </c>
      <c r="D469" s="25">
        <f t="shared" si="14"/>
        <v>10</v>
      </c>
      <c r="E469" s="25">
        <f t="shared" si="15"/>
        <v>2023</v>
      </c>
      <c r="F469" s="7" t="s">
        <v>101</v>
      </c>
      <c r="G469" s="4" t="s">
        <v>111</v>
      </c>
      <c r="H469" s="4" t="s">
        <v>118</v>
      </c>
      <c r="I469" s="9">
        <v>2636</v>
      </c>
      <c r="J469" s="9" t="s">
        <v>126</v>
      </c>
      <c r="K469" s="8">
        <v>45201</v>
      </c>
      <c r="L469" s="21">
        <v>2636</v>
      </c>
      <c r="M469" s="8"/>
      <c r="N469" s="21"/>
      <c r="O469" s="8"/>
      <c r="P469" s="21"/>
      <c r="Q469" s="8"/>
      <c r="R469" s="28"/>
    </row>
    <row r="470" spans="1:18">
      <c r="A470" s="1" t="s">
        <v>606</v>
      </c>
      <c r="B470" s="6" t="s">
        <v>28</v>
      </c>
      <c r="C470" s="7">
        <v>45325</v>
      </c>
      <c r="D470" s="25">
        <f t="shared" si="14"/>
        <v>2</v>
      </c>
      <c r="E470" s="25">
        <f t="shared" si="15"/>
        <v>2024</v>
      </c>
      <c r="F470" s="7" t="s">
        <v>77</v>
      </c>
      <c r="G470" s="4" t="s">
        <v>110</v>
      </c>
      <c r="H470" s="4" t="s">
        <v>114</v>
      </c>
      <c r="I470" s="9">
        <v>1670</v>
      </c>
      <c r="J470" s="9" t="s">
        <v>136</v>
      </c>
      <c r="K470" s="8">
        <v>45326</v>
      </c>
      <c r="L470" s="21">
        <v>417.5</v>
      </c>
      <c r="M470" s="8">
        <v>45355</v>
      </c>
      <c r="N470" s="21">
        <v>417.5</v>
      </c>
      <c r="O470" s="8">
        <v>45370</v>
      </c>
      <c r="P470" s="21">
        <v>417.5</v>
      </c>
      <c r="Q470" s="8">
        <v>45385</v>
      </c>
      <c r="R470" s="28">
        <v>417.5</v>
      </c>
    </row>
    <row r="471" spans="1:18">
      <c r="A471" s="1" t="s">
        <v>607</v>
      </c>
      <c r="B471" s="6" t="s">
        <v>55</v>
      </c>
      <c r="C471" s="7">
        <v>45187</v>
      </c>
      <c r="D471" s="25">
        <f t="shared" si="14"/>
        <v>9</v>
      </c>
      <c r="E471" s="25">
        <f t="shared" si="15"/>
        <v>2023</v>
      </c>
      <c r="F471" s="7" t="s">
        <v>104</v>
      </c>
      <c r="G471" s="4" t="s">
        <v>111</v>
      </c>
      <c r="H471" s="4" t="s">
        <v>119</v>
      </c>
      <c r="I471" s="9">
        <v>1754</v>
      </c>
      <c r="J471" s="9" t="s">
        <v>138</v>
      </c>
      <c r="K471" s="8">
        <v>45188</v>
      </c>
      <c r="L471" s="21">
        <v>877</v>
      </c>
      <c r="M471" s="8">
        <v>45217</v>
      </c>
      <c r="N471" s="21">
        <v>877</v>
      </c>
      <c r="O471" s="8"/>
      <c r="P471" s="21"/>
      <c r="Q471" s="8"/>
      <c r="R471" s="28"/>
    </row>
    <row r="472" spans="1:18">
      <c r="A472" s="1" t="s">
        <v>608</v>
      </c>
      <c r="B472" s="6" t="s">
        <v>13</v>
      </c>
      <c r="C472" s="7">
        <v>45289</v>
      </c>
      <c r="D472" s="25">
        <f t="shared" si="14"/>
        <v>12</v>
      </c>
      <c r="E472" s="25">
        <f t="shared" si="15"/>
        <v>2023</v>
      </c>
      <c r="F472" s="7" t="s">
        <v>63</v>
      </c>
      <c r="G472" s="4" t="s">
        <v>111</v>
      </c>
      <c r="H472" s="4" t="s">
        <v>120</v>
      </c>
      <c r="I472" s="9">
        <v>1967</v>
      </c>
      <c r="J472" s="9" t="s">
        <v>126</v>
      </c>
      <c r="K472" s="8">
        <v>45290</v>
      </c>
      <c r="L472" s="21">
        <v>1967</v>
      </c>
      <c r="M472" s="8"/>
      <c r="N472" s="21"/>
      <c r="O472" s="8"/>
      <c r="P472" s="21"/>
      <c r="Q472" s="8"/>
      <c r="R472" s="28"/>
    </row>
    <row r="473" spans="1:18">
      <c r="A473" s="1" t="s">
        <v>609</v>
      </c>
      <c r="B473" s="6" t="s">
        <v>25</v>
      </c>
      <c r="C473" s="7">
        <v>45343</v>
      </c>
      <c r="D473" s="25">
        <f t="shared" si="14"/>
        <v>2</v>
      </c>
      <c r="E473" s="25">
        <f t="shared" si="15"/>
        <v>2024</v>
      </c>
      <c r="F473" s="7" t="s">
        <v>74</v>
      </c>
      <c r="G473" s="4" t="s">
        <v>111</v>
      </c>
      <c r="H473" s="4" t="s">
        <v>120</v>
      </c>
      <c r="I473" s="9">
        <v>2838</v>
      </c>
      <c r="J473" s="9" t="s">
        <v>126</v>
      </c>
      <c r="K473" s="8">
        <v>45344</v>
      </c>
      <c r="L473" s="21">
        <v>2838</v>
      </c>
      <c r="M473" s="8"/>
      <c r="N473" s="21"/>
      <c r="O473" s="8"/>
      <c r="P473" s="21"/>
      <c r="Q473" s="8"/>
      <c r="R473" s="28"/>
    </row>
    <row r="474" spans="1:18">
      <c r="A474" s="1" t="s">
        <v>610</v>
      </c>
      <c r="B474" s="6" t="s">
        <v>60</v>
      </c>
      <c r="C474" s="7">
        <v>45387</v>
      </c>
      <c r="D474" s="25">
        <f t="shared" si="14"/>
        <v>4</v>
      </c>
      <c r="E474" s="25">
        <f t="shared" si="15"/>
        <v>2024</v>
      </c>
      <c r="F474" s="7" t="s">
        <v>109</v>
      </c>
      <c r="G474" s="4" t="s">
        <v>111</v>
      </c>
      <c r="H474" s="4" t="s">
        <v>118</v>
      </c>
      <c r="I474" s="9">
        <v>6251</v>
      </c>
      <c r="J474" s="9" t="s">
        <v>126</v>
      </c>
      <c r="K474" s="8">
        <v>45388</v>
      </c>
      <c r="L474" s="21">
        <v>6251</v>
      </c>
      <c r="M474" s="8"/>
      <c r="N474" s="21"/>
      <c r="O474" s="8"/>
      <c r="P474" s="21"/>
      <c r="Q474" s="8"/>
      <c r="R474" s="28"/>
    </row>
    <row r="475" spans="1:18">
      <c r="A475" s="1" t="s">
        <v>611</v>
      </c>
      <c r="B475" s="6" t="s">
        <v>33</v>
      </c>
      <c r="C475" s="7">
        <v>45301</v>
      </c>
      <c r="D475" s="25">
        <f t="shared" si="14"/>
        <v>1</v>
      </c>
      <c r="E475" s="25">
        <f t="shared" si="15"/>
        <v>2024</v>
      </c>
      <c r="F475" s="7" t="s">
        <v>82</v>
      </c>
      <c r="G475" s="4" t="s">
        <v>111</v>
      </c>
      <c r="H475" s="4" t="s">
        <v>119</v>
      </c>
      <c r="I475" s="9">
        <v>8439</v>
      </c>
      <c r="J475" s="9" t="s">
        <v>137</v>
      </c>
      <c r="K475" s="8">
        <v>45302</v>
      </c>
      <c r="L475" s="21">
        <v>2813</v>
      </c>
      <c r="M475" s="8">
        <v>45331</v>
      </c>
      <c r="N475" s="21">
        <v>2813</v>
      </c>
      <c r="O475" s="8">
        <v>45346</v>
      </c>
      <c r="P475" s="21">
        <v>2813</v>
      </c>
      <c r="Q475" s="8"/>
      <c r="R475" s="28"/>
    </row>
    <row r="476" spans="1:18">
      <c r="A476" s="1" t="s">
        <v>612</v>
      </c>
      <c r="B476" s="6" t="s">
        <v>38</v>
      </c>
      <c r="C476" s="7">
        <v>45473</v>
      </c>
      <c r="D476" s="25">
        <f t="shared" si="14"/>
        <v>6</v>
      </c>
      <c r="E476" s="25">
        <f t="shared" si="15"/>
        <v>2024</v>
      </c>
      <c r="F476" s="7" t="s">
        <v>87</v>
      </c>
      <c r="G476" s="4" t="s">
        <v>110</v>
      </c>
      <c r="H476" s="4" t="s">
        <v>125</v>
      </c>
      <c r="I476" s="9">
        <v>8706</v>
      </c>
      <c r="J476" s="9" t="s">
        <v>138</v>
      </c>
      <c r="K476" s="8">
        <v>45474</v>
      </c>
      <c r="L476" s="21">
        <v>4353</v>
      </c>
      <c r="M476" s="8">
        <v>45503</v>
      </c>
      <c r="N476" s="21">
        <v>4353</v>
      </c>
      <c r="O476" s="8"/>
      <c r="P476" s="21"/>
      <c r="Q476" s="8"/>
      <c r="R476" s="28"/>
    </row>
    <row r="477" spans="1:18">
      <c r="A477" s="1" t="s">
        <v>613</v>
      </c>
      <c r="B477" s="6" t="s">
        <v>34</v>
      </c>
      <c r="C477" s="7">
        <v>45180</v>
      </c>
      <c r="D477" s="25">
        <f t="shared" si="14"/>
        <v>9</v>
      </c>
      <c r="E477" s="25">
        <f t="shared" si="15"/>
        <v>2023</v>
      </c>
      <c r="F477" s="7" t="s">
        <v>83</v>
      </c>
      <c r="G477" s="4" t="s">
        <v>110</v>
      </c>
      <c r="H477" s="4" t="s">
        <v>113</v>
      </c>
      <c r="I477" s="9">
        <v>9705</v>
      </c>
      <c r="J477" s="9" t="s">
        <v>126</v>
      </c>
      <c r="K477" s="8">
        <v>45181</v>
      </c>
      <c r="L477" s="21">
        <v>9705</v>
      </c>
      <c r="M477" s="8"/>
      <c r="N477" s="21"/>
      <c r="O477" s="8"/>
      <c r="P477" s="21"/>
      <c r="Q477" s="8"/>
      <c r="R477" s="28"/>
    </row>
    <row r="478" spans="1:18">
      <c r="A478" s="1" t="s">
        <v>614</v>
      </c>
      <c r="B478" s="6" t="s">
        <v>55</v>
      </c>
      <c r="C478" s="7">
        <v>45272</v>
      </c>
      <c r="D478" s="25">
        <f t="shared" si="14"/>
        <v>12</v>
      </c>
      <c r="E478" s="25">
        <f t="shared" si="15"/>
        <v>2023</v>
      </c>
      <c r="F478" s="7" t="s">
        <v>104</v>
      </c>
      <c r="G478" s="4" t="s">
        <v>111</v>
      </c>
      <c r="H478" s="4" t="s">
        <v>119</v>
      </c>
      <c r="I478" s="9">
        <v>2802</v>
      </c>
      <c r="J478" s="9" t="s">
        <v>137</v>
      </c>
      <c r="K478" s="8">
        <v>45273</v>
      </c>
      <c r="L478" s="21">
        <v>934</v>
      </c>
      <c r="M478" s="8">
        <v>45302</v>
      </c>
      <c r="N478" s="21">
        <v>934</v>
      </c>
      <c r="O478" s="8">
        <v>45317</v>
      </c>
      <c r="P478" s="21">
        <v>934</v>
      </c>
      <c r="Q478" s="8"/>
      <c r="R478" s="28"/>
    </row>
    <row r="479" spans="1:18">
      <c r="A479" s="1" t="s">
        <v>615</v>
      </c>
      <c r="B479" s="6" t="s">
        <v>27</v>
      </c>
      <c r="C479" s="7">
        <v>45455</v>
      </c>
      <c r="D479" s="25">
        <f t="shared" si="14"/>
        <v>6</v>
      </c>
      <c r="E479" s="25">
        <f t="shared" si="15"/>
        <v>2024</v>
      </c>
      <c r="F479" s="7" t="s">
        <v>76</v>
      </c>
      <c r="G479" s="4" t="s">
        <v>110</v>
      </c>
      <c r="H479" s="4" t="s">
        <v>125</v>
      </c>
      <c r="I479" s="9">
        <v>4886</v>
      </c>
      <c r="J479" s="9" t="s">
        <v>126</v>
      </c>
      <c r="K479" s="8">
        <v>45456</v>
      </c>
      <c r="L479" s="21">
        <v>4886</v>
      </c>
      <c r="M479" s="8"/>
      <c r="N479" s="21"/>
      <c r="O479" s="8"/>
      <c r="P479" s="21"/>
      <c r="Q479" s="8"/>
      <c r="R479" s="28"/>
    </row>
    <row r="480" spans="1:18">
      <c r="A480" s="1" t="s">
        <v>616</v>
      </c>
      <c r="B480" s="6" t="s">
        <v>43</v>
      </c>
      <c r="C480" s="7">
        <v>45499</v>
      </c>
      <c r="D480" s="25">
        <f t="shared" si="14"/>
        <v>7</v>
      </c>
      <c r="E480" s="25">
        <f t="shared" si="15"/>
        <v>2024</v>
      </c>
      <c r="F480" s="7" t="s">
        <v>92</v>
      </c>
      <c r="G480" s="4" t="s">
        <v>110</v>
      </c>
      <c r="H480" s="4" t="s">
        <v>124</v>
      </c>
      <c r="I480" s="9">
        <v>5905</v>
      </c>
      <c r="J480" s="9" t="s">
        <v>126</v>
      </c>
      <c r="K480" s="8">
        <v>45500</v>
      </c>
      <c r="L480" s="21">
        <v>5905</v>
      </c>
      <c r="M480" s="8"/>
      <c r="N480" s="21"/>
      <c r="O480" s="8"/>
      <c r="P480" s="21"/>
      <c r="Q480" s="8"/>
      <c r="R480" s="28"/>
    </row>
    <row r="481" spans="1:18">
      <c r="A481" s="1" t="s">
        <v>617</v>
      </c>
      <c r="B481" s="6" t="s">
        <v>30</v>
      </c>
      <c r="C481" s="7">
        <v>45184</v>
      </c>
      <c r="D481" s="25">
        <f t="shared" si="14"/>
        <v>9</v>
      </c>
      <c r="E481" s="25">
        <f t="shared" si="15"/>
        <v>2023</v>
      </c>
      <c r="F481" s="7" t="s">
        <v>79</v>
      </c>
      <c r="G481" s="4" t="s">
        <v>111</v>
      </c>
      <c r="H481" s="4" t="s">
        <v>118</v>
      </c>
      <c r="I481" s="9">
        <v>7209</v>
      </c>
      <c r="J481" s="9" t="s">
        <v>136</v>
      </c>
      <c r="K481" s="8">
        <v>45185</v>
      </c>
      <c r="L481" s="21">
        <v>1802.25</v>
      </c>
      <c r="M481" s="8">
        <v>45214</v>
      </c>
      <c r="N481" s="21">
        <v>1802.25</v>
      </c>
      <c r="O481" s="8">
        <v>45229</v>
      </c>
      <c r="P481" s="21">
        <v>1802.25</v>
      </c>
      <c r="Q481" s="8">
        <v>45244</v>
      </c>
      <c r="R481" s="28">
        <v>1802.25</v>
      </c>
    </row>
    <row r="482" spans="1:18">
      <c r="A482" s="1" t="s">
        <v>618</v>
      </c>
      <c r="B482" s="6" t="s">
        <v>45</v>
      </c>
      <c r="C482" s="7">
        <v>45242</v>
      </c>
      <c r="D482" s="25">
        <f t="shared" si="14"/>
        <v>11</v>
      </c>
      <c r="E482" s="25">
        <f t="shared" si="15"/>
        <v>2023</v>
      </c>
      <c r="F482" s="7" t="s">
        <v>94</v>
      </c>
      <c r="G482" s="4" t="s">
        <v>110</v>
      </c>
      <c r="H482" s="4" t="s">
        <v>113</v>
      </c>
      <c r="I482" s="9">
        <v>9939</v>
      </c>
      <c r="J482" s="9" t="s">
        <v>136</v>
      </c>
      <c r="K482" s="8">
        <v>45243</v>
      </c>
      <c r="L482" s="21">
        <v>2484.75</v>
      </c>
      <c r="M482" s="8">
        <v>45272</v>
      </c>
      <c r="N482" s="21">
        <v>2484.75</v>
      </c>
      <c r="O482" s="8">
        <v>45287</v>
      </c>
      <c r="P482" s="21">
        <v>2484.75</v>
      </c>
      <c r="Q482" s="8">
        <v>45302</v>
      </c>
      <c r="R482" s="28">
        <v>2484.75</v>
      </c>
    </row>
    <row r="483" spans="1:18">
      <c r="A483" s="1" t="s">
        <v>619</v>
      </c>
      <c r="B483" s="6" t="s">
        <v>53</v>
      </c>
      <c r="C483" s="7">
        <v>45326</v>
      </c>
      <c r="D483" s="25">
        <f t="shared" si="14"/>
        <v>2</v>
      </c>
      <c r="E483" s="25">
        <f t="shared" si="15"/>
        <v>2024</v>
      </c>
      <c r="F483" s="7" t="s">
        <v>102</v>
      </c>
      <c r="G483" s="4" t="s">
        <v>111</v>
      </c>
      <c r="H483" s="4" t="s">
        <v>117</v>
      </c>
      <c r="I483" s="9">
        <v>9183</v>
      </c>
      <c r="J483" s="9" t="s">
        <v>138</v>
      </c>
      <c r="K483" s="8">
        <v>45327</v>
      </c>
      <c r="L483" s="21">
        <v>4591.5</v>
      </c>
      <c r="M483" s="8">
        <v>45356</v>
      </c>
      <c r="N483" s="21">
        <v>4591.5</v>
      </c>
      <c r="O483" s="8"/>
      <c r="P483" s="21"/>
      <c r="Q483" s="8"/>
      <c r="R483" s="28"/>
    </row>
    <row r="484" spans="1:18">
      <c r="A484" s="1" t="s">
        <v>620</v>
      </c>
      <c r="B484" s="6" t="s">
        <v>40</v>
      </c>
      <c r="C484" s="7">
        <v>45193</v>
      </c>
      <c r="D484" s="25">
        <f t="shared" si="14"/>
        <v>9</v>
      </c>
      <c r="E484" s="25">
        <f t="shared" si="15"/>
        <v>2023</v>
      </c>
      <c r="F484" s="7" t="s">
        <v>89</v>
      </c>
      <c r="G484" s="4" t="s">
        <v>111</v>
      </c>
      <c r="H484" s="4" t="s">
        <v>121</v>
      </c>
      <c r="I484" s="9">
        <v>6641</v>
      </c>
      <c r="J484" s="9" t="s">
        <v>136</v>
      </c>
      <c r="K484" s="8">
        <v>45194</v>
      </c>
      <c r="L484" s="21">
        <v>1660.25</v>
      </c>
      <c r="M484" s="8">
        <v>45223</v>
      </c>
      <c r="N484" s="21">
        <v>1660.25</v>
      </c>
      <c r="O484" s="8">
        <v>45238</v>
      </c>
      <c r="P484" s="21">
        <v>1660.25</v>
      </c>
      <c r="Q484" s="8">
        <v>45253</v>
      </c>
      <c r="R484" s="28">
        <v>1660.25</v>
      </c>
    </row>
    <row r="485" spans="1:18">
      <c r="A485" s="1" t="s">
        <v>621</v>
      </c>
      <c r="B485" s="6" t="s">
        <v>16</v>
      </c>
      <c r="C485" s="7">
        <v>45210</v>
      </c>
      <c r="D485" s="25">
        <f t="shared" si="14"/>
        <v>10</v>
      </c>
      <c r="E485" s="25">
        <f t="shared" si="15"/>
        <v>2023</v>
      </c>
      <c r="F485" s="7" t="s">
        <v>65</v>
      </c>
      <c r="G485" s="4" t="s">
        <v>110</v>
      </c>
      <c r="H485" s="4" t="s">
        <v>125</v>
      </c>
      <c r="I485" s="9">
        <v>4292</v>
      </c>
      <c r="J485" s="9" t="s">
        <v>126</v>
      </c>
      <c r="K485" s="8">
        <v>45211</v>
      </c>
      <c r="L485" s="21">
        <v>4292</v>
      </c>
      <c r="M485" s="8"/>
      <c r="N485" s="21"/>
      <c r="O485" s="8"/>
      <c r="P485" s="21"/>
      <c r="Q485" s="8"/>
      <c r="R485" s="28"/>
    </row>
    <row r="486" spans="1:18">
      <c r="A486" s="1" t="s">
        <v>622</v>
      </c>
      <c r="B486" s="6" t="s">
        <v>59</v>
      </c>
      <c r="C486" s="7">
        <v>45167</v>
      </c>
      <c r="D486" s="25">
        <f t="shared" si="14"/>
        <v>8</v>
      </c>
      <c r="E486" s="25">
        <f t="shared" si="15"/>
        <v>2023</v>
      </c>
      <c r="F486" s="7" t="s">
        <v>108</v>
      </c>
      <c r="G486" s="4" t="s">
        <v>111</v>
      </c>
      <c r="H486" s="4" t="s">
        <v>121</v>
      </c>
      <c r="I486" s="9">
        <v>6758</v>
      </c>
      <c r="J486" s="9" t="s">
        <v>126</v>
      </c>
      <c r="K486" s="8">
        <v>45168</v>
      </c>
      <c r="L486" s="21">
        <v>6758</v>
      </c>
      <c r="M486" s="8"/>
      <c r="N486" s="21"/>
      <c r="O486" s="8"/>
      <c r="P486" s="21"/>
      <c r="Q486" s="8"/>
      <c r="R486" s="28"/>
    </row>
    <row r="487" spans="1:18">
      <c r="A487" s="1" t="s">
        <v>623</v>
      </c>
      <c r="B487" s="6" t="s">
        <v>12</v>
      </c>
      <c r="C487" s="7">
        <v>45304</v>
      </c>
      <c r="D487" s="25">
        <f t="shared" si="14"/>
        <v>1</v>
      </c>
      <c r="E487" s="25">
        <f t="shared" si="15"/>
        <v>2024</v>
      </c>
      <c r="F487" s="7" t="s">
        <v>62</v>
      </c>
      <c r="G487" s="4" t="s">
        <v>112</v>
      </c>
      <c r="H487" s="4" t="s">
        <v>122</v>
      </c>
      <c r="I487" s="9">
        <v>490</v>
      </c>
      <c r="J487" s="9" t="s">
        <v>126</v>
      </c>
      <c r="K487" s="8">
        <v>45305</v>
      </c>
      <c r="L487" s="21">
        <v>490</v>
      </c>
      <c r="M487" s="8"/>
      <c r="N487" s="21"/>
      <c r="O487" s="8"/>
      <c r="P487" s="21"/>
      <c r="Q487" s="8"/>
      <c r="R487" s="28"/>
    </row>
    <row r="488" spans="1:18">
      <c r="A488" s="1" t="s">
        <v>624</v>
      </c>
      <c r="B488" s="6" t="s">
        <v>51</v>
      </c>
      <c r="C488" s="7">
        <v>45397</v>
      </c>
      <c r="D488" s="25">
        <f t="shared" si="14"/>
        <v>4</v>
      </c>
      <c r="E488" s="25">
        <f t="shared" si="15"/>
        <v>2024</v>
      </c>
      <c r="F488" s="7" t="s">
        <v>100</v>
      </c>
      <c r="G488" s="4" t="s">
        <v>111</v>
      </c>
      <c r="H488" s="4" t="s">
        <v>121</v>
      </c>
      <c r="I488" s="9">
        <v>4256</v>
      </c>
      <c r="J488" s="9" t="s">
        <v>126</v>
      </c>
      <c r="K488" s="8">
        <v>45398</v>
      </c>
      <c r="L488" s="21">
        <v>4256</v>
      </c>
      <c r="M488" s="8"/>
      <c r="N488" s="21"/>
      <c r="O488" s="8"/>
      <c r="P488" s="21"/>
      <c r="Q488" s="8"/>
      <c r="R488" s="28"/>
    </row>
    <row r="489" spans="1:18">
      <c r="A489" s="1" t="s">
        <v>625</v>
      </c>
      <c r="B489" s="6" t="s">
        <v>39</v>
      </c>
      <c r="C489" s="7">
        <v>45192</v>
      </c>
      <c r="D489" s="25">
        <f t="shared" si="14"/>
        <v>9</v>
      </c>
      <c r="E489" s="25">
        <f t="shared" si="15"/>
        <v>2023</v>
      </c>
      <c r="F489" s="7" t="s">
        <v>88</v>
      </c>
      <c r="G489" s="4" t="s">
        <v>110</v>
      </c>
      <c r="H489" s="4" t="s">
        <v>114</v>
      </c>
      <c r="I489" s="9">
        <v>3784</v>
      </c>
      <c r="J489" s="9" t="s">
        <v>136</v>
      </c>
      <c r="K489" s="8">
        <v>45193</v>
      </c>
      <c r="L489" s="21">
        <v>946</v>
      </c>
      <c r="M489" s="8">
        <v>45222</v>
      </c>
      <c r="N489" s="21">
        <v>946</v>
      </c>
      <c r="O489" s="8">
        <v>45237</v>
      </c>
      <c r="P489" s="21">
        <v>946</v>
      </c>
      <c r="Q489" s="8">
        <v>45252</v>
      </c>
      <c r="R489" s="28">
        <v>946</v>
      </c>
    </row>
    <row r="490" spans="1:18">
      <c r="A490" s="1" t="s">
        <v>626</v>
      </c>
      <c r="B490" s="6" t="s">
        <v>47</v>
      </c>
      <c r="C490" s="7">
        <v>45259</v>
      </c>
      <c r="D490" s="25">
        <f t="shared" si="14"/>
        <v>11</v>
      </c>
      <c r="E490" s="25">
        <f t="shared" si="15"/>
        <v>2023</v>
      </c>
      <c r="F490" s="7" t="s">
        <v>96</v>
      </c>
      <c r="G490" s="4" t="s">
        <v>111</v>
      </c>
      <c r="H490" s="4" t="s">
        <v>120</v>
      </c>
      <c r="I490" s="9">
        <v>7456</v>
      </c>
      <c r="J490" s="9" t="s">
        <v>136</v>
      </c>
      <c r="K490" s="8">
        <v>45260</v>
      </c>
      <c r="L490" s="21">
        <v>1864</v>
      </c>
      <c r="M490" s="8">
        <v>45289</v>
      </c>
      <c r="N490" s="21">
        <v>1864</v>
      </c>
      <c r="O490" s="8">
        <v>45304</v>
      </c>
      <c r="P490" s="21">
        <v>1864</v>
      </c>
      <c r="Q490" s="8">
        <v>45319</v>
      </c>
      <c r="R490" s="28">
        <v>1864</v>
      </c>
    </row>
    <row r="491" spans="1:18">
      <c r="A491" s="1" t="s">
        <v>627</v>
      </c>
      <c r="B491" s="6" t="s">
        <v>53</v>
      </c>
      <c r="C491" s="7">
        <v>45283</v>
      </c>
      <c r="D491" s="25">
        <f t="shared" si="14"/>
        <v>12</v>
      </c>
      <c r="E491" s="25">
        <f t="shared" si="15"/>
        <v>2023</v>
      </c>
      <c r="F491" s="7" t="s">
        <v>102</v>
      </c>
      <c r="G491" s="4" t="s">
        <v>111</v>
      </c>
      <c r="H491" s="4" t="s">
        <v>117</v>
      </c>
      <c r="I491" s="9">
        <v>1344</v>
      </c>
      <c r="J491" s="9" t="s">
        <v>136</v>
      </c>
      <c r="K491" s="8">
        <v>45284</v>
      </c>
      <c r="L491" s="21">
        <v>336</v>
      </c>
      <c r="M491" s="8">
        <v>45313</v>
      </c>
      <c r="N491" s="21">
        <v>336</v>
      </c>
      <c r="O491" s="8">
        <v>45328</v>
      </c>
      <c r="P491" s="21">
        <v>336</v>
      </c>
      <c r="Q491" s="8">
        <v>45343</v>
      </c>
      <c r="R491" s="28">
        <v>336</v>
      </c>
    </row>
    <row r="492" spans="1:18">
      <c r="A492" s="1" t="s">
        <v>628</v>
      </c>
      <c r="B492" s="6" t="s">
        <v>32</v>
      </c>
      <c r="C492" s="7">
        <v>45266</v>
      </c>
      <c r="D492" s="25">
        <f t="shared" si="14"/>
        <v>12</v>
      </c>
      <c r="E492" s="25">
        <f t="shared" si="15"/>
        <v>2023</v>
      </c>
      <c r="F492" s="7" t="s">
        <v>81</v>
      </c>
      <c r="G492" s="4" t="s">
        <v>110</v>
      </c>
      <c r="H492" s="4" t="s">
        <v>124</v>
      </c>
      <c r="I492" s="9">
        <v>8367</v>
      </c>
      <c r="J492" s="9" t="s">
        <v>126</v>
      </c>
      <c r="K492" s="8">
        <v>45267</v>
      </c>
      <c r="L492" s="21">
        <v>8367</v>
      </c>
      <c r="M492" s="8"/>
      <c r="N492" s="21"/>
      <c r="O492" s="8"/>
      <c r="P492" s="21"/>
      <c r="Q492" s="8"/>
      <c r="R492" s="28"/>
    </row>
    <row r="493" spans="1:18">
      <c r="A493" s="1" t="s">
        <v>629</v>
      </c>
      <c r="B493" s="6" t="s">
        <v>12</v>
      </c>
      <c r="C493" s="7">
        <v>45333</v>
      </c>
      <c r="D493" s="25">
        <f t="shared" si="14"/>
        <v>2</v>
      </c>
      <c r="E493" s="39">
        <f t="shared" si="15"/>
        <v>2024</v>
      </c>
      <c r="F493" s="7" t="s">
        <v>62</v>
      </c>
      <c r="G493" s="4" t="s">
        <v>112</v>
      </c>
      <c r="H493" s="4" t="s">
        <v>122</v>
      </c>
      <c r="I493" s="9">
        <v>9077</v>
      </c>
      <c r="J493" s="9" t="s">
        <v>126</v>
      </c>
      <c r="K493" s="8">
        <v>45334</v>
      </c>
      <c r="L493" s="21">
        <v>9077</v>
      </c>
      <c r="M493" s="8"/>
      <c r="N493" s="21"/>
      <c r="O493" s="8"/>
      <c r="P493" s="21"/>
      <c r="Q493" s="8"/>
      <c r="R493" s="28"/>
    </row>
    <row r="494" spans="1:18">
      <c r="A494" s="1" t="s">
        <v>630</v>
      </c>
      <c r="B494" s="6" t="s">
        <v>14</v>
      </c>
      <c r="C494" s="7">
        <v>45182</v>
      </c>
      <c r="D494" s="25">
        <f t="shared" si="14"/>
        <v>9</v>
      </c>
      <c r="E494" s="25">
        <f t="shared" si="15"/>
        <v>2023</v>
      </c>
      <c r="F494" s="7" t="s">
        <v>61</v>
      </c>
      <c r="G494" s="4" t="s">
        <v>110</v>
      </c>
      <c r="H494" s="4" t="s">
        <v>113</v>
      </c>
      <c r="I494" s="9">
        <v>6656</v>
      </c>
      <c r="J494" s="9" t="s">
        <v>137</v>
      </c>
      <c r="K494" s="8">
        <v>45183</v>
      </c>
      <c r="L494" s="21">
        <v>2218.6666666666665</v>
      </c>
      <c r="M494" s="8">
        <v>45212</v>
      </c>
      <c r="N494" s="21">
        <v>2218.6666666666665</v>
      </c>
      <c r="O494" s="8">
        <v>45227</v>
      </c>
      <c r="P494" s="21">
        <v>2218.6666666666665</v>
      </c>
      <c r="Q494" s="8"/>
      <c r="R494" s="28"/>
    </row>
    <row r="495" spans="1:18">
      <c r="A495" s="1" t="s">
        <v>631</v>
      </c>
      <c r="B495" s="6" t="s">
        <v>17</v>
      </c>
      <c r="C495" s="7">
        <v>45160</v>
      </c>
      <c r="D495" s="25">
        <f t="shared" si="14"/>
        <v>8</v>
      </c>
      <c r="E495" s="25">
        <f t="shared" si="15"/>
        <v>2023</v>
      </c>
      <c r="F495" s="7" t="s">
        <v>66</v>
      </c>
      <c r="G495" s="4" t="s">
        <v>110</v>
      </c>
      <c r="H495" s="4" t="s">
        <v>114</v>
      </c>
      <c r="I495" s="9">
        <v>9287</v>
      </c>
      <c r="J495" s="9" t="s">
        <v>138</v>
      </c>
      <c r="K495" s="8">
        <v>45161</v>
      </c>
      <c r="L495" s="21">
        <v>4643.5</v>
      </c>
      <c r="M495" s="8">
        <v>45190</v>
      </c>
      <c r="N495" s="21">
        <v>4643.5</v>
      </c>
      <c r="O495" s="8"/>
      <c r="P495" s="21"/>
      <c r="Q495" s="8"/>
      <c r="R495" s="28"/>
    </row>
    <row r="496" spans="1:18">
      <c r="A496" s="1" t="s">
        <v>632</v>
      </c>
      <c r="B496" s="6" t="s">
        <v>43</v>
      </c>
      <c r="C496" s="7">
        <v>45244</v>
      </c>
      <c r="D496" s="25">
        <f t="shared" si="14"/>
        <v>11</v>
      </c>
      <c r="E496" s="25">
        <f t="shared" si="15"/>
        <v>2023</v>
      </c>
      <c r="F496" s="7" t="s">
        <v>92</v>
      </c>
      <c r="G496" s="4" t="s">
        <v>110</v>
      </c>
      <c r="H496" s="4" t="s">
        <v>124</v>
      </c>
      <c r="I496" s="9">
        <v>3141</v>
      </c>
      <c r="J496" s="9" t="s">
        <v>136</v>
      </c>
      <c r="K496" s="8">
        <v>45245</v>
      </c>
      <c r="L496" s="21">
        <v>785.25</v>
      </c>
      <c r="M496" s="8">
        <v>45274</v>
      </c>
      <c r="N496" s="21">
        <v>785.25</v>
      </c>
      <c r="O496" s="8">
        <v>45289</v>
      </c>
      <c r="P496" s="21">
        <v>785.25</v>
      </c>
      <c r="Q496" s="8">
        <v>45304</v>
      </c>
      <c r="R496" s="28">
        <v>785.25</v>
      </c>
    </row>
    <row r="497" spans="1:18">
      <c r="A497" s="1" t="s">
        <v>633</v>
      </c>
      <c r="B497" s="6" t="s">
        <v>45</v>
      </c>
      <c r="C497" s="7">
        <v>45408</v>
      </c>
      <c r="D497" s="25">
        <f t="shared" si="14"/>
        <v>4</v>
      </c>
      <c r="E497" s="25">
        <f t="shared" si="15"/>
        <v>2024</v>
      </c>
      <c r="F497" s="7" t="s">
        <v>94</v>
      </c>
      <c r="G497" s="4" t="s">
        <v>110</v>
      </c>
      <c r="H497" s="4" t="s">
        <v>113</v>
      </c>
      <c r="I497" s="9">
        <v>5094</v>
      </c>
      <c r="J497" s="9" t="s">
        <v>137</v>
      </c>
      <c r="K497" s="8">
        <v>45409</v>
      </c>
      <c r="L497" s="21">
        <v>1698</v>
      </c>
      <c r="M497" s="8">
        <v>45438</v>
      </c>
      <c r="N497" s="21">
        <v>1698</v>
      </c>
      <c r="O497" s="8">
        <v>45453</v>
      </c>
      <c r="P497" s="21">
        <v>1698</v>
      </c>
      <c r="Q497" s="8"/>
      <c r="R497" s="28"/>
    </row>
    <row r="498" spans="1:18">
      <c r="A498" s="1" t="s">
        <v>634</v>
      </c>
      <c r="B498" s="6" t="s">
        <v>18</v>
      </c>
      <c r="C498" s="7">
        <v>45242</v>
      </c>
      <c r="D498" s="25">
        <f t="shared" si="14"/>
        <v>11</v>
      </c>
      <c r="E498" s="25">
        <f t="shared" si="15"/>
        <v>2023</v>
      </c>
      <c r="F498" s="7" t="s">
        <v>67</v>
      </c>
      <c r="G498" s="4" t="s">
        <v>111</v>
      </c>
      <c r="H498" s="4" t="s">
        <v>121</v>
      </c>
      <c r="I498" s="9">
        <v>430</v>
      </c>
      <c r="J498" s="9" t="s">
        <v>136</v>
      </c>
      <c r="K498" s="8">
        <v>45243</v>
      </c>
      <c r="L498" s="21">
        <v>107.5</v>
      </c>
      <c r="M498" s="8">
        <v>45272</v>
      </c>
      <c r="N498" s="21">
        <v>107.5</v>
      </c>
      <c r="O498" s="8">
        <v>45287</v>
      </c>
      <c r="P498" s="21">
        <v>107.5</v>
      </c>
      <c r="Q498" s="8">
        <v>45302</v>
      </c>
      <c r="R498" s="28">
        <v>107.5</v>
      </c>
    </row>
    <row r="499" spans="1:18">
      <c r="A499" s="1" t="s">
        <v>635</v>
      </c>
      <c r="B499" s="6" t="s">
        <v>55</v>
      </c>
      <c r="C499" s="7">
        <v>45300</v>
      </c>
      <c r="D499" s="25">
        <f t="shared" si="14"/>
        <v>1</v>
      </c>
      <c r="E499" s="25">
        <f t="shared" si="15"/>
        <v>2024</v>
      </c>
      <c r="F499" s="7" t="s">
        <v>104</v>
      </c>
      <c r="G499" s="4" t="s">
        <v>111</v>
      </c>
      <c r="H499" s="4" t="s">
        <v>119</v>
      </c>
      <c r="I499" s="9">
        <v>595</v>
      </c>
      <c r="J499" s="9" t="s">
        <v>138</v>
      </c>
      <c r="K499" s="8">
        <v>45301</v>
      </c>
      <c r="L499" s="21">
        <v>297.5</v>
      </c>
      <c r="M499" s="8">
        <v>45330</v>
      </c>
      <c r="N499" s="21">
        <v>297.5</v>
      </c>
      <c r="O499" s="8"/>
      <c r="P499" s="21"/>
      <c r="Q499" s="8"/>
      <c r="R499" s="28"/>
    </row>
    <row r="500" spans="1:18">
      <c r="A500" s="1" t="s">
        <v>636</v>
      </c>
      <c r="B500" s="6" t="s">
        <v>40</v>
      </c>
      <c r="C500" s="7">
        <v>45430</v>
      </c>
      <c r="D500" s="25">
        <f t="shared" si="14"/>
        <v>5</v>
      </c>
      <c r="E500" s="25">
        <f t="shared" si="15"/>
        <v>2024</v>
      </c>
      <c r="F500" s="7" t="s">
        <v>89</v>
      </c>
      <c r="G500" s="4" t="s">
        <v>111</v>
      </c>
      <c r="H500" s="4" t="s">
        <v>121</v>
      </c>
      <c r="I500" s="9">
        <v>8491</v>
      </c>
      <c r="J500" s="9" t="s">
        <v>138</v>
      </c>
      <c r="K500" s="8">
        <v>45431</v>
      </c>
      <c r="L500" s="21">
        <v>4245.5</v>
      </c>
      <c r="M500" s="8">
        <v>45460</v>
      </c>
      <c r="N500" s="21">
        <v>4245.5</v>
      </c>
      <c r="O500" s="8"/>
      <c r="P500" s="21"/>
      <c r="Q500" s="8"/>
      <c r="R500" s="28"/>
    </row>
    <row r="501" spans="1:18">
      <c r="A501" s="26" t="s">
        <v>637</v>
      </c>
      <c r="B501" s="5" t="s">
        <v>13</v>
      </c>
      <c r="C501" s="19">
        <v>45166</v>
      </c>
      <c r="D501" s="25">
        <f t="shared" si="14"/>
        <v>8</v>
      </c>
      <c r="E501" s="25">
        <f t="shared" si="15"/>
        <v>2023</v>
      </c>
      <c r="F501" s="19" t="s">
        <v>63</v>
      </c>
      <c r="G501" s="4" t="s">
        <v>111</v>
      </c>
      <c r="H501" s="4" t="s">
        <v>120</v>
      </c>
      <c r="I501" s="9">
        <v>8360</v>
      </c>
      <c r="J501" s="9" t="s">
        <v>126</v>
      </c>
      <c r="K501" s="8">
        <v>45167</v>
      </c>
      <c r="L501" s="21">
        <v>8360</v>
      </c>
      <c r="M501" s="8"/>
      <c r="N501" s="21"/>
      <c r="O501" s="8"/>
      <c r="P501" s="21"/>
      <c r="Q501" s="8"/>
      <c r="R501" s="28"/>
    </row>
  </sheetData>
  <sheetProtection autoFilter="0"/>
  <phoneticPr fontId="4" type="noConversion"/>
  <conditionalFormatting sqref="A1:R501">
    <cfRule type="expression" dxfId="56" priority="61">
      <formula>$A1&lt;&gt;""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D0B7-E601-4AAB-AC2A-74407F211485}">
  <sheetPr codeName="Planilha3"/>
  <dimension ref="A1:H127"/>
  <sheetViews>
    <sheetView zoomScaleNormal="100" workbookViewId="0">
      <selection activeCell="E41" sqref="E41"/>
    </sheetView>
  </sheetViews>
  <sheetFormatPr defaultRowHeight="14.25"/>
  <cols>
    <col min="1" max="1" width="24.75" bestFit="1" customWidth="1"/>
    <col min="2" max="2" width="18.375" bestFit="1" customWidth="1"/>
    <col min="3" max="3" width="8.875" bestFit="1" customWidth="1"/>
    <col min="4" max="4" width="24.75" bestFit="1" customWidth="1"/>
    <col min="5" max="5" width="18.375" bestFit="1" customWidth="1"/>
    <col min="6" max="7" width="24.75" bestFit="1" customWidth="1"/>
    <col min="8" max="8" width="18.375" bestFit="1" customWidth="1"/>
    <col min="9" max="9" width="19.5" bestFit="1" customWidth="1"/>
    <col min="10" max="10" width="8.875" bestFit="1" customWidth="1"/>
    <col min="11" max="12" width="24.75" bestFit="1" customWidth="1"/>
    <col min="13" max="13" width="18.375" bestFit="1" customWidth="1"/>
    <col min="14" max="14" width="16.25" bestFit="1" customWidth="1"/>
    <col min="15" max="15" width="23.5" bestFit="1" customWidth="1"/>
    <col min="16" max="16" width="21.5" bestFit="1" customWidth="1"/>
  </cols>
  <sheetData>
    <row r="1" spans="1:8">
      <c r="A1" s="36" t="s">
        <v>2</v>
      </c>
      <c r="B1" t="s">
        <v>111</v>
      </c>
      <c r="D1" s="36" t="s">
        <v>2</v>
      </c>
      <c r="E1" t="s">
        <v>110</v>
      </c>
      <c r="G1" s="36" t="s">
        <v>2</v>
      </c>
      <c r="H1" t="s">
        <v>112</v>
      </c>
    </row>
    <row r="3" spans="1:8">
      <c r="A3" s="36" t="s">
        <v>641</v>
      </c>
      <c r="B3" t="s">
        <v>640</v>
      </c>
      <c r="D3" s="36" t="s">
        <v>641</v>
      </c>
      <c r="E3" t="s">
        <v>640</v>
      </c>
      <c r="G3" s="36" t="s">
        <v>641</v>
      </c>
      <c r="H3" t="s">
        <v>640</v>
      </c>
    </row>
    <row r="4" spans="1:8">
      <c r="A4" s="37">
        <v>2023</v>
      </c>
      <c r="B4" s="23">
        <v>687661</v>
      </c>
      <c r="D4" s="37">
        <v>2023</v>
      </c>
      <c r="E4" s="23">
        <v>554938</v>
      </c>
      <c r="G4" s="37">
        <v>2023</v>
      </c>
      <c r="H4" s="23">
        <v>206705</v>
      </c>
    </row>
    <row r="5" spans="1:8">
      <c r="A5" s="38">
        <v>1</v>
      </c>
      <c r="B5" s="23">
        <v>5000</v>
      </c>
      <c r="D5" s="38">
        <v>4</v>
      </c>
      <c r="E5" s="23">
        <v>7447</v>
      </c>
      <c r="G5" s="38">
        <v>5</v>
      </c>
      <c r="H5" s="23">
        <v>16086</v>
      </c>
    </row>
    <row r="6" spans="1:8">
      <c r="A6" s="38">
        <v>3</v>
      </c>
      <c r="B6" s="23">
        <v>9182</v>
      </c>
      <c r="D6" s="38">
        <v>5</v>
      </c>
      <c r="E6" s="23">
        <v>31800</v>
      </c>
      <c r="G6" s="38">
        <v>6</v>
      </c>
      <c r="H6" s="23">
        <v>10968</v>
      </c>
    </row>
    <row r="7" spans="1:8">
      <c r="A7" s="38">
        <v>4</v>
      </c>
      <c r="B7" s="23">
        <v>10782</v>
      </c>
      <c r="D7" s="38">
        <v>6</v>
      </c>
      <c r="E7" s="23">
        <v>41699</v>
      </c>
      <c r="G7" s="38">
        <v>7</v>
      </c>
      <c r="H7" s="23">
        <v>30548</v>
      </c>
    </row>
    <row r="8" spans="1:8">
      <c r="A8" s="38">
        <v>5</v>
      </c>
      <c r="B8" s="23">
        <v>28789</v>
      </c>
      <c r="D8" s="38">
        <v>7</v>
      </c>
      <c r="E8" s="23">
        <v>23248</v>
      </c>
      <c r="G8" s="38">
        <v>8</v>
      </c>
      <c r="H8" s="23">
        <v>34785</v>
      </c>
    </row>
    <row r="9" spans="1:8">
      <c r="A9" s="38">
        <v>6</v>
      </c>
      <c r="B9" s="23">
        <v>25418</v>
      </c>
      <c r="D9" s="38">
        <v>8</v>
      </c>
      <c r="E9" s="23">
        <v>72379</v>
      </c>
      <c r="G9" s="38">
        <v>9</v>
      </c>
      <c r="H9" s="23">
        <v>40458</v>
      </c>
    </row>
    <row r="10" spans="1:8">
      <c r="A10" s="38">
        <v>7</v>
      </c>
      <c r="B10" s="23">
        <v>77376</v>
      </c>
      <c r="D10" s="38">
        <v>9</v>
      </c>
      <c r="E10" s="23">
        <v>109893</v>
      </c>
      <c r="G10" s="38">
        <v>10</v>
      </c>
      <c r="H10" s="23">
        <v>43622</v>
      </c>
    </row>
    <row r="11" spans="1:8">
      <c r="A11" s="38">
        <v>8</v>
      </c>
      <c r="B11" s="23">
        <v>132736</v>
      </c>
      <c r="D11" s="38">
        <v>10</v>
      </c>
      <c r="E11" s="23">
        <v>106854</v>
      </c>
      <c r="G11" s="38">
        <v>11</v>
      </c>
      <c r="H11" s="23">
        <v>3794</v>
      </c>
    </row>
    <row r="12" spans="1:8">
      <c r="A12" s="38">
        <v>9</v>
      </c>
      <c r="B12" s="41">
        <v>65542</v>
      </c>
      <c r="D12" s="38">
        <v>11</v>
      </c>
      <c r="E12" s="23">
        <v>98631</v>
      </c>
      <c r="G12" s="38">
        <v>12</v>
      </c>
      <c r="H12" s="23">
        <v>26444</v>
      </c>
    </row>
    <row r="13" spans="1:8">
      <c r="A13" s="38">
        <v>10</v>
      </c>
      <c r="B13" s="23">
        <v>126644</v>
      </c>
      <c r="D13" s="38">
        <v>12</v>
      </c>
      <c r="E13" s="23">
        <v>62987</v>
      </c>
      <c r="G13" s="37">
        <v>2024</v>
      </c>
      <c r="H13" s="23">
        <v>266357</v>
      </c>
    </row>
    <row r="14" spans="1:8">
      <c r="A14" s="38">
        <v>11</v>
      </c>
      <c r="B14" s="23">
        <v>77619</v>
      </c>
      <c r="D14" s="37">
        <v>2024</v>
      </c>
      <c r="E14" s="23">
        <v>353763</v>
      </c>
      <c r="G14" s="38">
        <v>1</v>
      </c>
      <c r="H14" s="23">
        <v>21286</v>
      </c>
    </row>
    <row r="15" spans="1:8">
      <c r="A15" s="38">
        <v>12</v>
      </c>
      <c r="B15" s="23">
        <v>128573</v>
      </c>
      <c r="D15" s="38">
        <v>1</v>
      </c>
      <c r="E15" s="23">
        <v>68306</v>
      </c>
      <c r="G15" s="38">
        <v>2</v>
      </c>
      <c r="H15" s="23">
        <v>31971</v>
      </c>
    </row>
    <row r="16" spans="1:8">
      <c r="A16" s="37">
        <v>2024</v>
      </c>
      <c r="B16" s="23">
        <v>546382</v>
      </c>
      <c r="D16" s="38">
        <v>2</v>
      </c>
      <c r="E16" s="23">
        <v>28054</v>
      </c>
      <c r="G16" s="38">
        <v>3</v>
      </c>
      <c r="H16" s="23">
        <v>56516</v>
      </c>
    </row>
    <row r="17" spans="1:8">
      <c r="A17" s="38">
        <v>1</v>
      </c>
      <c r="B17" s="23">
        <v>109285</v>
      </c>
      <c r="D17" s="38">
        <v>3</v>
      </c>
      <c r="E17" s="23">
        <v>44000</v>
      </c>
      <c r="G17" s="38">
        <v>4</v>
      </c>
      <c r="H17" s="23">
        <v>31839</v>
      </c>
    </row>
    <row r="18" spans="1:8">
      <c r="A18" s="38">
        <v>2</v>
      </c>
      <c r="B18" s="23">
        <v>118610</v>
      </c>
      <c r="D18" s="38">
        <v>4</v>
      </c>
      <c r="E18" s="23">
        <v>61363</v>
      </c>
      <c r="G18" s="38">
        <v>5</v>
      </c>
      <c r="H18" s="23">
        <v>37993</v>
      </c>
    </row>
    <row r="19" spans="1:8">
      <c r="A19" s="38">
        <v>3</v>
      </c>
      <c r="B19" s="23">
        <v>98061</v>
      </c>
      <c r="D19" s="38">
        <v>5</v>
      </c>
      <c r="E19" s="23">
        <v>45491</v>
      </c>
      <c r="G19" s="38">
        <v>6</v>
      </c>
      <c r="H19" s="23">
        <v>22264</v>
      </c>
    </row>
    <row r="20" spans="1:8">
      <c r="A20" s="38">
        <v>4</v>
      </c>
      <c r="B20" s="23">
        <v>68443</v>
      </c>
      <c r="D20" s="38">
        <v>6</v>
      </c>
      <c r="E20" s="23">
        <v>61428</v>
      </c>
      <c r="G20" s="38">
        <v>7</v>
      </c>
      <c r="H20" s="23">
        <v>27054</v>
      </c>
    </row>
    <row r="21" spans="1:8">
      <c r="A21" s="38">
        <v>5</v>
      </c>
      <c r="B21" s="23">
        <v>52590</v>
      </c>
      <c r="D21" s="38">
        <v>7</v>
      </c>
      <c r="E21" s="23">
        <v>33683</v>
      </c>
      <c r="G21" s="38">
        <v>8</v>
      </c>
      <c r="H21" s="23">
        <v>25002</v>
      </c>
    </row>
    <row r="22" spans="1:8">
      <c r="A22" s="38">
        <v>6</v>
      </c>
      <c r="B22" s="23">
        <v>37825</v>
      </c>
      <c r="D22" s="38">
        <v>8</v>
      </c>
      <c r="E22" s="23">
        <v>3772</v>
      </c>
      <c r="G22" s="38">
        <v>9</v>
      </c>
      <c r="H22" s="23">
        <v>12432</v>
      </c>
    </row>
    <row r="23" spans="1:8">
      <c r="A23" s="38">
        <v>7</v>
      </c>
      <c r="B23" s="23">
        <v>38252</v>
      </c>
      <c r="D23" s="38">
        <v>9</v>
      </c>
      <c r="E23" s="23">
        <v>7666</v>
      </c>
      <c r="G23" s="37" t="s">
        <v>642</v>
      </c>
      <c r="H23" s="23">
        <v>473062</v>
      </c>
    </row>
    <row r="24" spans="1:8">
      <c r="A24" s="38">
        <v>8</v>
      </c>
      <c r="B24" s="23">
        <v>15277</v>
      </c>
      <c r="D24" s="37" t="s">
        <v>642</v>
      </c>
      <c r="E24" s="23">
        <v>908701</v>
      </c>
    </row>
    <row r="25" spans="1:8">
      <c r="A25" s="38">
        <v>9</v>
      </c>
      <c r="B25" s="23">
        <v>8039</v>
      </c>
    </row>
    <row r="26" spans="1:8">
      <c r="A26" s="37" t="s">
        <v>642</v>
      </c>
      <c r="B26" s="23">
        <v>1234043</v>
      </c>
    </row>
    <row r="63" spans="1:5">
      <c r="A63" s="36" t="s">
        <v>2</v>
      </c>
      <c r="B63" t="s">
        <v>111</v>
      </c>
      <c r="D63" s="36" t="s">
        <v>2</v>
      </c>
      <c r="E63" t="s">
        <v>110</v>
      </c>
    </row>
    <row r="65" spans="1:5">
      <c r="A65" s="36" t="s">
        <v>641</v>
      </c>
      <c r="B65" t="s">
        <v>640</v>
      </c>
      <c r="D65" s="36" t="s">
        <v>641</v>
      </c>
      <c r="E65" t="s">
        <v>640</v>
      </c>
    </row>
    <row r="66" spans="1:5">
      <c r="A66" s="37" t="s">
        <v>51</v>
      </c>
      <c r="B66" s="23">
        <v>65562</v>
      </c>
      <c r="D66" s="37" t="s">
        <v>32</v>
      </c>
      <c r="E66" s="23">
        <v>69489</v>
      </c>
    </row>
    <row r="67" spans="1:5">
      <c r="A67" s="37" t="s">
        <v>53</v>
      </c>
      <c r="B67" s="23">
        <v>72943</v>
      </c>
      <c r="D67" s="37" t="s">
        <v>27</v>
      </c>
      <c r="E67" s="23">
        <v>69747</v>
      </c>
    </row>
    <row r="68" spans="1:5">
      <c r="A68" s="37" t="s">
        <v>19</v>
      </c>
      <c r="B68" s="23">
        <v>86461</v>
      </c>
      <c r="D68" s="37" t="s">
        <v>21</v>
      </c>
      <c r="E68" s="23">
        <v>70517</v>
      </c>
    </row>
    <row r="69" spans="1:5">
      <c r="A69" s="37" t="s">
        <v>30</v>
      </c>
      <c r="B69" s="23">
        <v>87952</v>
      </c>
      <c r="D69" s="37" t="s">
        <v>23</v>
      </c>
      <c r="E69" s="23">
        <v>71043</v>
      </c>
    </row>
    <row r="70" spans="1:5">
      <c r="A70" s="37" t="s">
        <v>18</v>
      </c>
      <c r="B70" s="23">
        <v>102315</v>
      </c>
      <c r="D70" s="37" t="s">
        <v>28</v>
      </c>
      <c r="E70" s="23">
        <v>72762</v>
      </c>
    </row>
    <row r="71" spans="1:5">
      <c r="A71" s="37" t="s">
        <v>642</v>
      </c>
      <c r="B71" s="23">
        <v>415233</v>
      </c>
      <c r="D71" s="37" t="s">
        <v>642</v>
      </c>
      <c r="E71" s="23">
        <v>353558</v>
      </c>
    </row>
    <row r="104" spans="1:3">
      <c r="A104" s="36" t="s">
        <v>641</v>
      </c>
      <c r="B104" t="s">
        <v>640</v>
      </c>
    </row>
    <row r="105" spans="1:3">
      <c r="A105" s="37">
        <v>2023</v>
      </c>
      <c r="B105" s="23">
        <v>339428</v>
      </c>
    </row>
    <row r="106" spans="1:3">
      <c r="A106" s="38">
        <v>1</v>
      </c>
      <c r="B106" s="23">
        <v>5000</v>
      </c>
    </row>
    <row r="107" spans="1:3">
      <c r="A107" s="38">
        <v>3</v>
      </c>
      <c r="B107" s="23">
        <v>9182</v>
      </c>
    </row>
    <row r="108" spans="1:3">
      <c r="A108" s="38">
        <v>4</v>
      </c>
      <c r="B108" s="23">
        <v>3335</v>
      </c>
    </row>
    <row r="109" spans="1:3">
      <c r="A109" s="38">
        <v>5</v>
      </c>
      <c r="B109" s="23">
        <v>13075</v>
      </c>
    </row>
    <row r="110" spans="1:3">
      <c r="A110" s="38">
        <v>6</v>
      </c>
      <c r="B110" s="23">
        <v>-5313</v>
      </c>
    </row>
    <row r="111" spans="1:3">
      <c r="A111" s="38">
        <v>7</v>
      </c>
      <c r="B111" s="23">
        <v>84676</v>
      </c>
      <c r="C111" s="40"/>
    </row>
    <row r="112" spans="1:3">
      <c r="A112" s="38">
        <v>8</v>
      </c>
      <c r="B112" s="23">
        <v>95142</v>
      </c>
      <c r="C112" s="40"/>
    </row>
    <row r="113" spans="1:4">
      <c r="A113" s="38">
        <v>9</v>
      </c>
      <c r="B113" s="23">
        <v>-3893</v>
      </c>
      <c r="C113" s="40"/>
      <c r="D113" s="40"/>
    </row>
    <row r="114" spans="1:4">
      <c r="A114" s="38">
        <v>10</v>
      </c>
      <c r="B114" s="23">
        <v>63412</v>
      </c>
      <c r="C114" s="40"/>
      <c r="D114" s="40"/>
    </row>
    <row r="115" spans="1:4">
      <c r="A115" s="38">
        <v>11</v>
      </c>
      <c r="B115" s="23">
        <v>-17218</v>
      </c>
      <c r="C115" s="40"/>
      <c r="D115" s="40"/>
    </row>
    <row r="116" spans="1:4">
      <c r="A116" s="38">
        <v>12</v>
      </c>
      <c r="B116" s="23">
        <v>92030</v>
      </c>
      <c r="C116" s="40"/>
      <c r="D116" s="40"/>
    </row>
    <row r="117" spans="1:4">
      <c r="A117" s="37">
        <v>2024</v>
      </c>
      <c r="B117" s="23">
        <v>458976</v>
      </c>
      <c r="C117" s="40"/>
      <c r="D117" s="40"/>
    </row>
    <row r="118" spans="1:4">
      <c r="A118" s="38">
        <v>1</v>
      </c>
      <c r="B118" s="23">
        <v>62265</v>
      </c>
      <c r="C118" s="40"/>
      <c r="D118" s="40"/>
    </row>
    <row r="119" spans="1:4">
      <c r="A119" s="38">
        <v>2</v>
      </c>
      <c r="B119" s="23">
        <v>122527</v>
      </c>
      <c r="C119" s="40"/>
      <c r="D119" s="40"/>
    </row>
    <row r="120" spans="1:4">
      <c r="A120" s="38">
        <v>3</v>
      </c>
      <c r="B120" s="23">
        <v>110577</v>
      </c>
      <c r="C120" s="40"/>
      <c r="D120" s="40"/>
    </row>
    <row r="121" spans="1:4">
      <c r="A121" s="38">
        <v>4</v>
      </c>
      <c r="B121" s="23">
        <v>38919</v>
      </c>
    </row>
    <row r="122" spans="1:4">
      <c r="A122" s="38">
        <v>5</v>
      </c>
      <c r="B122" s="23">
        <v>45092</v>
      </c>
    </row>
    <row r="123" spans="1:4">
      <c r="A123" s="38">
        <v>6</v>
      </c>
      <c r="B123" s="23">
        <v>-1339</v>
      </c>
    </row>
    <row r="124" spans="1:4">
      <c r="A124" s="38">
        <v>7</v>
      </c>
      <c r="B124" s="23">
        <v>31623</v>
      </c>
    </row>
    <row r="125" spans="1:4">
      <c r="A125" s="38">
        <v>8</v>
      </c>
      <c r="B125" s="23">
        <v>36507</v>
      </c>
    </row>
    <row r="126" spans="1:4">
      <c r="A126" s="38">
        <v>9</v>
      </c>
      <c r="B126" s="23">
        <v>12805</v>
      </c>
    </row>
    <row r="127" spans="1:4">
      <c r="A127" s="37" t="s">
        <v>642</v>
      </c>
      <c r="B127" s="23">
        <v>798404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FE2C7-31B0-4636-AC7A-C2B8098DFEAB}">
  <sheetPr codeName="Planilha4"/>
  <dimension ref="A1"/>
  <sheetViews>
    <sheetView workbookViewId="0"/>
  </sheetViews>
  <sheetFormatPr defaultRowHeight="14.25"/>
  <sheetData>
    <row r="1" spans="1:1">
      <c r="A1" t="s">
        <v>644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EEA07-BB5F-4E01-9E5A-CB7C9B401537}">
  <sheetPr codeName="Planilha1"/>
  <dimension ref="C4:G10"/>
  <sheetViews>
    <sheetView showGridLines="0" workbookViewId="0">
      <selection activeCell="E12" sqref="E12"/>
    </sheetView>
  </sheetViews>
  <sheetFormatPr defaultRowHeight="14.25"/>
  <cols>
    <col min="3" max="3" width="41.625" bestFit="1" customWidth="1"/>
    <col min="4" max="4" width="16.625" bestFit="1" customWidth="1"/>
    <col min="5" max="5" width="11.125" bestFit="1" customWidth="1"/>
    <col min="6" max="6" width="10.875" bestFit="1" customWidth="1"/>
    <col min="7" max="7" width="12.625" bestFit="1" customWidth="1"/>
  </cols>
  <sheetData>
    <row r="4" spans="3:7" ht="15" thickBot="1"/>
    <row r="5" spans="3:7">
      <c r="C5" s="18" t="s">
        <v>135</v>
      </c>
      <c r="D5" s="11"/>
      <c r="E5" s="11"/>
      <c r="F5" s="11"/>
      <c r="G5" s="12"/>
    </row>
    <row r="6" spans="3:7">
      <c r="C6" s="13" t="s">
        <v>115</v>
      </c>
      <c r="D6" t="s">
        <v>127</v>
      </c>
      <c r="E6" t="s">
        <v>128</v>
      </c>
      <c r="F6" t="s">
        <v>129</v>
      </c>
      <c r="G6" s="14" t="s">
        <v>130</v>
      </c>
    </row>
    <row r="7" spans="3:7">
      <c r="C7" s="13" t="s">
        <v>126</v>
      </c>
      <c r="D7">
        <v>1</v>
      </c>
      <c r="G7" s="14"/>
    </row>
    <row r="8" spans="3:7">
      <c r="C8" s="13" t="s">
        <v>133</v>
      </c>
      <c r="D8">
        <v>1</v>
      </c>
      <c r="E8">
        <v>30</v>
      </c>
      <c r="G8" s="14"/>
    </row>
    <row r="9" spans="3:7">
      <c r="C9" s="13" t="s">
        <v>132</v>
      </c>
      <c r="D9">
        <v>1</v>
      </c>
      <c r="E9">
        <v>30</v>
      </c>
      <c r="F9">
        <v>45</v>
      </c>
      <c r="G9" s="14"/>
    </row>
    <row r="10" spans="3:7" ht="15" thickBot="1">
      <c r="C10" s="15" t="s">
        <v>134</v>
      </c>
      <c r="D10" s="16">
        <v>1</v>
      </c>
      <c r="E10" s="16">
        <v>30</v>
      </c>
      <c r="F10" s="16">
        <v>45</v>
      </c>
      <c r="G10" s="17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8BF0-3600-44C5-A21C-E9D6D38E0928}">
  <sheetPr codeName="Sheet2"/>
  <dimension ref="A1:R501"/>
  <sheetViews>
    <sheetView showGridLines="0" topLeftCell="C1" zoomScaleNormal="100" workbookViewId="0">
      <selection activeCell="O2" sqref="O2"/>
    </sheetView>
  </sheetViews>
  <sheetFormatPr defaultRowHeight="14.25"/>
  <cols>
    <col min="1" max="1" width="14.625" bestFit="1" customWidth="1"/>
    <col min="2" max="2" width="25.125" bestFit="1" customWidth="1"/>
    <col min="3" max="3" width="15.125" style="24" bestFit="1" customWidth="1"/>
    <col min="4" max="4" width="15.125" style="23" customWidth="1"/>
    <col min="5" max="5" width="15.125" style="24" customWidth="1"/>
    <col min="6" max="6" width="17.875" bestFit="1" customWidth="1"/>
    <col min="7" max="7" width="21" bestFit="1" customWidth="1"/>
    <col min="8" max="8" width="17.75" bestFit="1" customWidth="1"/>
    <col min="9" max="9" width="13.875" bestFit="1" customWidth="1"/>
    <col min="10" max="10" width="18.625" bestFit="1" customWidth="1"/>
    <col min="11" max="11" width="9.875" bestFit="1" customWidth="1"/>
    <col min="12" max="12" width="12.375" style="22" customWidth="1"/>
    <col min="13" max="13" width="10.75" customWidth="1"/>
    <col min="14" max="14" width="12.375" style="22" customWidth="1"/>
    <col min="15" max="15" width="12" customWidth="1"/>
    <col min="16" max="16" width="12.375" style="22" customWidth="1"/>
    <col min="17" max="17" width="11.625" customWidth="1"/>
    <col min="18" max="18" width="12.375" style="22" customWidth="1"/>
  </cols>
  <sheetData>
    <row r="1" spans="1:18">
      <c r="A1" s="29" t="s">
        <v>131</v>
      </c>
      <c r="B1" s="30" t="s">
        <v>0</v>
      </c>
      <c r="C1" s="31" t="s">
        <v>1</v>
      </c>
      <c r="D1" s="32" t="s">
        <v>638</v>
      </c>
      <c r="E1" s="31" t="s">
        <v>639</v>
      </c>
      <c r="F1" s="31" t="s">
        <v>139</v>
      </c>
      <c r="G1" s="30" t="s">
        <v>2</v>
      </c>
      <c r="H1" s="30" t="s">
        <v>116</v>
      </c>
      <c r="I1" s="33" t="s">
        <v>3</v>
      </c>
      <c r="J1" s="33" t="s">
        <v>115</v>
      </c>
      <c r="K1" s="31" t="s">
        <v>4</v>
      </c>
      <c r="L1" s="34" t="s">
        <v>5</v>
      </c>
      <c r="M1" s="31" t="s">
        <v>6</v>
      </c>
      <c r="N1" s="34" t="s">
        <v>7</v>
      </c>
      <c r="O1" s="31" t="s">
        <v>8</v>
      </c>
      <c r="P1" s="34" t="s">
        <v>9</v>
      </c>
      <c r="Q1" s="31" t="s">
        <v>10</v>
      </c>
      <c r="R1" s="35" t="s">
        <v>11</v>
      </c>
    </row>
    <row r="2" spans="1:18">
      <c r="A2" s="1">
        <v>111111111111</v>
      </c>
      <c r="B2" s="1" t="s">
        <v>57</v>
      </c>
      <c r="C2" s="3">
        <v>44927</v>
      </c>
      <c r="D2" s="25">
        <v>1</v>
      </c>
      <c r="E2" s="25">
        <v>2023</v>
      </c>
      <c r="F2" s="3" t="s">
        <v>645</v>
      </c>
      <c r="G2" s="2" t="s">
        <v>111</v>
      </c>
      <c r="H2" s="2" t="s">
        <v>646</v>
      </c>
      <c r="I2" s="9">
        <v>5000</v>
      </c>
      <c r="J2" s="10" t="s">
        <v>137</v>
      </c>
      <c r="K2" s="3">
        <v>44928</v>
      </c>
      <c r="L2" s="20">
        <v>1666.6666666666667</v>
      </c>
      <c r="M2" s="3">
        <v>44957</v>
      </c>
      <c r="N2" s="20">
        <v>1666.6666666666667</v>
      </c>
      <c r="O2" s="3">
        <v>44972</v>
      </c>
      <c r="P2" s="20">
        <v>1666.6666666666667</v>
      </c>
      <c r="Q2" s="3"/>
      <c r="R2" s="27"/>
    </row>
    <row r="3" spans="1:18">
      <c r="A3" s="1" t="s">
        <v>140</v>
      </c>
      <c r="B3" s="1" t="s">
        <v>16</v>
      </c>
      <c r="C3" s="3">
        <v>45421</v>
      </c>
      <c r="D3" s="25">
        <f>MONTH(C3)</f>
        <v>5</v>
      </c>
      <c r="E3" s="25">
        <f>YEAR(C3)</f>
        <v>2024</v>
      </c>
      <c r="F3" s="3" t="s">
        <v>65</v>
      </c>
      <c r="G3" s="2" t="s">
        <v>110</v>
      </c>
      <c r="H3" s="2" t="s">
        <v>125</v>
      </c>
      <c r="I3" s="9">
        <v>-2457</v>
      </c>
      <c r="J3" s="10" t="s">
        <v>126</v>
      </c>
      <c r="K3" s="3">
        <v>45422</v>
      </c>
      <c r="L3" s="20">
        <v>-2457</v>
      </c>
      <c r="M3" s="3"/>
      <c r="N3" s="20"/>
      <c r="O3" s="3"/>
      <c r="P3" s="20"/>
      <c r="Q3" s="3"/>
      <c r="R3" s="27"/>
    </row>
    <row r="4" spans="1:18">
      <c r="A4" s="1" t="s">
        <v>141</v>
      </c>
      <c r="B4" s="1" t="s">
        <v>33</v>
      </c>
      <c r="C4" s="3">
        <v>45465</v>
      </c>
      <c r="D4" s="25">
        <f t="shared" ref="D4:D67" si="0">MONTH(C4)</f>
        <v>6</v>
      </c>
      <c r="E4" s="25">
        <f t="shared" ref="E4:E67" si="1">YEAR(C4)</f>
        <v>2024</v>
      </c>
      <c r="F4" s="3" t="s">
        <v>82</v>
      </c>
      <c r="G4" s="2" t="s">
        <v>111</v>
      </c>
      <c r="H4" s="2" t="s">
        <v>119</v>
      </c>
      <c r="I4" s="9">
        <v>9594</v>
      </c>
      <c r="J4" s="10" t="s">
        <v>138</v>
      </c>
      <c r="K4" s="8">
        <v>45466</v>
      </c>
      <c r="L4" s="21">
        <v>4797</v>
      </c>
      <c r="M4" s="8">
        <v>45495</v>
      </c>
      <c r="N4" s="21">
        <v>4797</v>
      </c>
      <c r="O4" s="8"/>
      <c r="P4" s="21"/>
      <c r="Q4" s="8"/>
      <c r="R4" s="28"/>
    </row>
    <row r="5" spans="1:18">
      <c r="A5" s="1" t="s">
        <v>142</v>
      </c>
      <c r="B5" s="1" t="s">
        <v>30</v>
      </c>
      <c r="C5" s="3">
        <v>45218</v>
      </c>
      <c r="D5" s="25">
        <f t="shared" si="0"/>
        <v>10</v>
      </c>
      <c r="E5" s="25">
        <f t="shared" si="1"/>
        <v>2023</v>
      </c>
      <c r="F5" s="7" t="s">
        <v>79</v>
      </c>
      <c r="G5" s="2" t="s">
        <v>111</v>
      </c>
      <c r="H5" s="2" t="s">
        <v>118</v>
      </c>
      <c r="I5" s="9">
        <v>9086</v>
      </c>
      <c r="J5" s="10" t="s">
        <v>137</v>
      </c>
      <c r="K5" s="8">
        <v>45219</v>
      </c>
      <c r="L5" s="21">
        <v>3028.6666666666665</v>
      </c>
      <c r="M5" s="8">
        <v>45248</v>
      </c>
      <c r="N5" s="21">
        <v>3028.6666666666665</v>
      </c>
      <c r="O5" s="8">
        <v>45263</v>
      </c>
      <c r="P5" s="21">
        <v>3028.6666666666665</v>
      </c>
      <c r="Q5" s="8"/>
      <c r="R5" s="28"/>
    </row>
    <row r="6" spans="1:18">
      <c r="A6" s="1" t="s">
        <v>143</v>
      </c>
      <c r="B6" s="1" t="s">
        <v>29</v>
      </c>
      <c r="C6" s="3">
        <v>45068</v>
      </c>
      <c r="D6" s="25">
        <f t="shared" si="0"/>
        <v>5</v>
      </c>
      <c r="E6" s="25">
        <f t="shared" si="1"/>
        <v>2023</v>
      </c>
      <c r="F6" s="7" t="s">
        <v>78</v>
      </c>
      <c r="G6" s="2" t="s">
        <v>111</v>
      </c>
      <c r="H6" s="2" t="s">
        <v>121</v>
      </c>
      <c r="I6" s="9">
        <v>9199</v>
      </c>
      <c r="J6" s="10" t="s">
        <v>137</v>
      </c>
      <c r="K6" s="8">
        <v>45069</v>
      </c>
      <c r="L6" s="21">
        <v>3066.3333333333335</v>
      </c>
      <c r="M6" s="8">
        <v>45098</v>
      </c>
      <c r="N6" s="21">
        <v>3066.3333333333335</v>
      </c>
      <c r="O6" s="8">
        <v>45113</v>
      </c>
      <c r="P6" s="21">
        <v>3066.3333333333335</v>
      </c>
      <c r="Q6" s="8"/>
      <c r="R6" s="28"/>
    </row>
    <row r="7" spans="1:18">
      <c r="A7" s="1" t="s">
        <v>144</v>
      </c>
      <c r="B7" s="1" t="s">
        <v>20</v>
      </c>
      <c r="C7" s="3">
        <v>45346</v>
      </c>
      <c r="D7" s="25">
        <f t="shared" si="0"/>
        <v>2</v>
      </c>
      <c r="E7" s="25">
        <f t="shared" si="1"/>
        <v>2024</v>
      </c>
      <c r="F7" s="7" t="s">
        <v>69</v>
      </c>
      <c r="G7" s="2" t="s">
        <v>111</v>
      </c>
      <c r="H7" s="2" t="s">
        <v>117</v>
      </c>
      <c r="I7" s="9">
        <v>8090</v>
      </c>
      <c r="J7" s="10" t="s">
        <v>136</v>
      </c>
      <c r="K7" s="8">
        <v>45347</v>
      </c>
      <c r="L7" s="21">
        <v>2022.5</v>
      </c>
      <c r="M7" s="8">
        <v>45376</v>
      </c>
      <c r="N7" s="21">
        <v>2022.5</v>
      </c>
      <c r="O7" s="8">
        <v>45391</v>
      </c>
      <c r="P7" s="21">
        <v>2022.5</v>
      </c>
      <c r="Q7" s="8">
        <v>45406</v>
      </c>
      <c r="R7" s="28">
        <v>2022.5</v>
      </c>
    </row>
    <row r="8" spans="1:18">
      <c r="A8" s="1" t="s">
        <v>145</v>
      </c>
      <c r="B8" s="1" t="s">
        <v>15</v>
      </c>
      <c r="C8" s="3">
        <v>45170</v>
      </c>
      <c r="D8" s="25">
        <f t="shared" si="0"/>
        <v>9</v>
      </c>
      <c r="E8" s="25">
        <f t="shared" si="1"/>
        <v>2023</v>
      </c>
      <c r="F8" s="7" t="s">
        <v>64</v>
      </c>
      <c r="G8" s="2" t="s">
        <v>112</v>
      </c>
      <c r="H8" s="2" t="s">
        <v>123</v>
      </c>
      <c r="I8" s="9">
        <v>1396</v>
      </c>
      <c r="J8" s="10" t="s">
        <v>126</v>
      </c>
      <c r="K8" s="8">
        <v>45171</v>
      </c>
      <c r="L8" s="21">
        <v>1396</v>
      </c>
      <c r="M8" s="8"/>
      <c r="N8" s="21"/>
      <c r="O8" s="8"/>
      <c r="P8" s="21"/>
      <c r="Q8" s="8"/>
      <c r="R8" s="28"/>
    </row>
    <row r="9" spans="1:18">
      <c r="A9" s="1" t="s">
        <v>146</v>
      </c>
      <c r="B9" s="1" t="s">
        <v>16</v>
      </c>
      <c r="C9" s="3">
        <v>45444</v>
      </c>
      <c r="D9" s="25">
        <f t="shared" si="0"/>
        <v>6</v>
      </c>
      <c r="E9" s="25">
        <f t="shared" si="1"/>
        <v>2024</v>
      </c>
      <c r="F9" s="7" t="s">
        <v>65</v>
      </c>
      <c r="G9" s="2" t="s">
        <v>110</v>
      </c>
      <c r="H9" s="2" t="s">
        <v>125</v>
      </c>
      <c r="I9" s="9">
        <v>-6710</v>
      </c>
      <c r="J9" s="10" t="s">
        <v>136</v>
      </c>
      <c r="K9" s="8">
        <v>45445</v>
      </c>
      <c r="L9" s="21">
        <v>-1677.5</v>
      </c>
      <c r="M9" s="8">
        <v>45474</v>
      </c>
      <c r="N9" s="21">
        <v>-1677.5</v>
      </c>
      <c r="O9" s="8">
        <v>45489</v>
      </c>
      <c r="P9" s="21">
        <v>-1677.5</v>
      </c>
      <c r="Q9" s="8">
        <v>45504</v>
      </c>
      <c r="R9" s="28">
        <v>-1677.5</v>
      </c>
    </row>
    <row r="10" spans="1:18">
      <c r="A10" s="1" t="s">
        <v>147</v>
      </c>
      <c r="B10" s="1" t="s">
        <v>49</v>
      </c>
      <c r="C10" s="3">
        <v>45215</v>
      </c>
      <c r="D10" s="25">
        <f t="shared" si="0"/>
        <v>10</v>
      </c>
      <c r="E10" s="25">
        <f t="shared" si="1"/>
        <v>2023</v>
      </c>
      <c r="F10" s="7" t="s">
        <v>98</v>
      </c>
      <c r="G10" s="2" t="s">
        <v>110</v>
      </c>
      <c r="H10" s="2" t="s">
        <v>125</v>
      </c>
      <c r="I10" s="9">
        <v>-2984</v>
      </c>
      <c r="J10" s="10" t="s">
        <v>136</v>
      </c>
      <c r="K10" s="8">
        <v>45216</v>
      </c>
      <c r="L10" s="21">
        <v>-746</v>
      </c>
      <c r="M10" s="8">
        <v>45245</v>
      </c>
      <c r="N10" s="21">
        <v>-746</v>
      </c>
      <c r="O10" s="8">
        <v>45260</v>
      </c>
      <c r="P10" s="21">
        <v>-746</v>
      </c>
      <c r="Q10" s="8">
        <v>45275</v>
      </c>
      <c r="R10" s="28">
        <v>-746</v>
      </c>
    </row>
    <row r="11" spans="1:18">
      <c r="A11" s="1" t="s">
        <v>148</v>
      </c>
      <c r="B11" s="1" t="s">
        <v>18</v>
      </c>
      <c r="C11" s="3">
        <v>45180</v>
      </c>
      <c r="D11" s="25">
        <f t="shared" si="0"/>
        <v>9</v>
      </c>
      <c r="E11" s="25">
        <f t="shared" si="1"/>
        <v>2023</v>
      </c>
      <c r="F11" s="7" t="s">
        <v>67</v>
      </c>
      <c r="G11" s="2" t="s">
        <v>111</v>
      </c>
      <c r="H11" s="2" t="s">
        <v>121</v>
      </c>
      <c r="I11" s="9">
        <v>5644</v>
      </c>
      <c r="J11" s="10" t="s">
        <v>138</v>
      </c>
      <c r="K11" s="8">
        <v>45181</v>
      </c>
      <c r="L11" s="21">
        <v>2822</v>
      </c>
      <c r="M11" s="8">
        <v>45210</v>
      </c>
      <c r="N11" s="21">
        <v>2822</v>
      </c>
      <c r="O11" s="8"/>
      <c r="P11" s="21"/>
      <c r="Q11" s="8"/>
      <c r="R11" s="28"/>
    </row>
    <row r="12" spans="1:18">
      <c r="A12" s="1" t="s">
        <v>149</v>
      </c>
      <c r="B12" s="1" t="s">
        <v>18</v>
      </c>
      <c r="C12" s="3">
        <v>45128</v>
      </c>
      <c r="D12" s="25">
        <f t="shared" si="0"/>
        <v>7</v>
      </c>
      <c r="E12" s="25">
        <f t="shared" si="1"/>
        <v>2023</v>
      </c>
      <c r="F12" s="7" t="s">
        <v>67</v>
      </c>
      <c r="G12" s="2" t="s">
        <v>111</v>
      </c>
      <c r="H12" s="2" t="s">
        <v>121</v>
      </c>
      <c r="I12" s="9">
        <v>5862</v>
      </c>
      <c r="J12" s="10" t="s">
        <v>136</v>
      </c>
      <c r="K12" s="8">
        <v>45129</v>
      </c>
      <c r="L12" s="21">
        <v>1465.5</v>
      </c>
      <c r="M12" s="8">
        <v>45158</v>
      </c>
      <c r="N12" s="21">
        <v>1465.5</v>
      </c>
      <c r="O12" s="8">
        <v>45173</v>
      </c>
      <c r="P12" s="21">
        <v>1465.5</v>
      </c>
      <c r="Q12" s="8">
        <v>45188</v>
      </c>
      <c r="R12" s="28">
        <v>1465.5</v>
      </c>
    </row>
    <row r="13" spans="1:18">
      <c r="A13" s="1" t="s">
        <v>150</v>
      </c>
      <c r="B13" s="1" t="s">
        <v>18</v>
      </c>
      <c r="C13" s="3">
        <v>45343</v>
      </c>
      <c r="D13" s="25">
        <f t="shared" si="0"/>
        <v>2</v>
      </c>
      <c r="E13" s="25">
        <f t="shared" si="1"/>
        <v>2024</v>
      </c>
      <c r="F13" s="7" t="s">
        <v>67</v>
      </c>
      <c r="G13" s="2" t="s">
        <v>111</v>
      </c>
      <c r="H13" s="2" t="s">
        <v>121</v>
      </c>
      <c r="I13" s="9">
        <v>762</v>
      </c>
      <c r="J13" s="10" t="s">
        <v>136</v>
      </c>
      <c r="K13" s="8">
        <v>45344</v>
      </c>
      <c r="L13" s="21">
        <v>190.5</v>
      </c>
      <c r="M13" s="8">
        <v>45373</v>
      </c>
      <c r="N13" s="21">
        <v>190.5</v>
      </c>
      <c r="O13" s="8">
        <v>45388</v>
      </c>
      <c r="P13" s="21">
        <v>190.5</v>
      </c>
      <c r="Q13" s="8">
        <v>45403</v>
      </c>
      <c r="R13" s="28">
        <v>190.5</v>
      </c>
    </row>
    <row r="14" spans="1:18">
      <c r="A14" s="1" t="s">
        <v>151</v>
      </c>
      <c r="B14" s="1" t="s">
        <v>35</v>
      </c>
      <c r="C14" s="3">
        <v>45149</v>
      </c>
      <c r="D14" s="25">
        <f t="shared" si="0"/>
        <v>8</v>
      </c>
      <c r="E14" s="25">
        <f t="shared" si="1"/>
        <v>2023</v>
      </c>
      <c r="F14" s="7" t="s">
        <v>84</v>
      </c>
      <c r="G14" s="2" t="s">
        <v>112</v>
      </c>
      <c r="H14" s="2" t="s">
        <v>122</v>
      </c>
      <c r="I14" s="9">
        <v>626</v>
      </c>
      <c r="J14" s="10" t="s">
        <v>126</v>
      </c>
      <c r="K14" s="8">
        <v>45150</v>
      </c>
      <c r="L14" s="21">
        <v>626</v>
      </c>
      <c r="M14" s="8"/>
      <c r="N14" s="21"/>
      <c r="O14" s="8"/>
      <c r="P14" s="21"/>
      <c r="Q14" s="8"/>
      <c r="R14" s="28"/>
    </row>
    <row r="15" spans="1:18">
      <c r="A15" s="1" t="s">
        <v>152</v>
      </c>
      <c r="B15" s="1" t="s">
        <v>18</v>
      </c>
      <c r="C15" s="3">
        <v>45217</v>
      </c>
      <c r="D15" s="25">
        <f t="shared" si="0"/>
        <v>10</v>
      </c>
      <c r="E15" s="25">
        <f t="shared" si="1"/>
        <v>2023</v>
      </c>
      <c r="F15" s="7" t="s">
        <v>67</v>
      </c>
      <c r="G15" s="2" t="s">
        <v>111</v>
      </c>
      <c r="H15" s="2" t="s">
        <v>121</v>
      </c>
      <c r="I15" s="9">
        <v>5530</v>
      </c>
      <c r="J15" s="10" t="s">
        <v>136</v>
      </c>
      <c r="K15" s="8">
        <v>45218</v>
      </c>
      <c r="L15" s="21">
        <v>1382.5</v>
      </c>
      <c r="M15" s="8">
        <v>45247</v>
      </c>
      <c r="N15" s="21">
        <v>1382.5</v>
      </c>
      <c r="O15" s="8">
        <v>45262</v>
      </c>
      <c r="P15" s="21">
        <v>1382.5</v>
      </c>
      <c r="Q15" s="8">
        <v>45277</v>
      </c>
      <c r="R15" s="28">
        <v>1382.5</v>
      </c>
    </row>
    <row r="16" spans="1:18">
      <c r="A16" s="1" t="s">
        <v>153</v>
      </c>
      <c r="B16" s="1" t="s">
        <v>44</v>
      </c>
      <c r="C16" s="3">
        <v>45101</v>
      </c>
      <c r="D16" s="25">
        <f t="shared" si="0"/>
        <v>6</v>
      </c>
      <c r="E16" s="25">
        <f t="shared" si="1"/>
        <v>2023</v>
      </c>
      <c r="F16" s="7" t="s">
        <v>93</v>
      </c>
      <c r="G16" s="2" t="s">
        <v>111</v>
      </c>
      <c r="H16" s="2" t="s">
        <v>119</v>
      </c>
      <c r="I16" s="9">
        <v>3652</v>
      </c>
      <c r="J16" s="10" t="s">
        <v>136</v>
      </c>
      <c r="K16" s="8">
        <v>45102</v>
      </c>
      <c r="L16" s="21">
        <v>913</v>
      </c>
      <c r="M16" s="8">
        <v>45131</v>
      </c>
      <c r="N16" s="21">
        <v>913</v>
      </c>
      <c r="O16" s="8">
        <v>45146</v>
      </c>
      <c r="P16" s="21">
        <v>913</v>
      </c>
      <c r="Q16" s="8">
        <v>45161</v>
      </c>
      <c r="R16" s="28">
        <v>913</v>
      </c>
    </row>
    <row r="17" spans="1:18">
      <c r="A17" s="1" t="s">
        <v>154</v>
      </c>
      <c r="B17" s="1" t="s">
        <v>23</v>
      </c>
      <c r="C17" s="3">
        <v>45376</v>
      </c>
      <c r="D17" s="25">
        <f t="shared" si="0"/>
        <v>3</v>
      </c>
      <c r="E17" s="25">
        <f t="shared" si="1"/>
        <v>2024</v>
      </c>
      <c r="F17" s="7" t="s">
        <v>72</v>
      </c>
      <c r="G17" s="2" t="s">
        <v>110</v>
      </c>
      <c r="H17" s="2" t="s">
        <v>113</v>
      </c>
      <c r="I17" s="9">
        <v>-8685</v>
      </c>
      <c r="J17" s="10" t="s">
        <v>137</v>
      </c>
      <c r="K17" s="8">
        <v>45377</v>
      </c>
      <c r="L17" s="21">
        <v>-2895</v>
      </c>
      <c r="M17" s="8">
        <v>45406</v>
      </c>
      <c r="N17" s="21">
        <v>-2895</v>
      </c>
      <c r="O17" s="8">
        <v>45421</v>
      </c>
      <c r="P17" s="21">
        <v>-2895</v>
      </c>
      <c r="Q17" s="8"/>
      <c r="R17" s="28"/>
    </row>
    <row r="18" spans="1:18">
      <c r="A18" s="1" t="s">
        <v>155</v>
      </c>
      <c r="B18" s="1" t="s">
        <v>53</v>
      </c>
      <c r="C18" s="3">
        <v>45211</v>
      </c>
      <c r="D18" s="25">
        <f t="shared" si="0"/>
        <v>10</v>
      </c>
      <c r="E18" s="25">
        <f t="shared" si="1"/>
        <v>2023</v>
      </c>
      <c r="F18" s="7" t="s">
        <v>102</v>
      </c>
      <c r="G18" s="2" t="s">
        <v>111</v>
      </c>
      <c r="H18" s="2" t="s">
        <v>117</v>
      </c>
      <c r="I18" s="9">
        <v>8792</v>
      </c>
      <c r="J18" s="10" t="s">
        <v>137</v>
      </c>
      <c r="K18" s="8">
        <v>45212</v>
      </c>
      <c r="L18" s="21">
        <v>2930.6666666666665</v>
      </c>
      <c r="M18" s="8">
        <v>45241</v>
      </c>
      <c r="N18" s="21">
        <v>2930.6666666666665</v>
      </c>
      <c r="O18" s="8">
        <v>45256</v>
      </c>
      <c r="P18" s="21">
        <v>2930.6666666666665</v>
      </c>
      <c r="Q18" s="8"/>
      <c r="R18" s="28"/>
    </row>
    <row r="19" spans="1:18">
      <c r="A19" s="1" t="s">
        <v>156</v>
      </c>
      <c r="B19" s="1" t="s">
        <v>40</v>
      </c>
      <c r="C19" s="3">
        <v>45268</v>
      </c>
      <c r="D19" s="25">
        <f t="shared" si="0"/>
        <v>12</v>
      </c>
      <c r="E19" s="25">
        <f t="shared" si="1"/>
        <v>2023</v>
      </c>
      <c r="F19" s="7" t="s">
        <v>89</v>
      </c>
      <c r="G19" s="2" t="s">
        <v>111</v>
      </c>
      <c r="H19" s="2" t="s">
        <v>121</v>
      </c>
      <c r="I19" s="9">
        <v>9489</v>
      </c>
      <c r="J19" s="10" t="s">
        <v>126</v>
      </c>
      <c r="K19" s="8">
        <v>45269</v>
      </c>
      <c r="L19" s="21">
        <v>9489</v>
      </c>
      <c r="M19" s="8"/>
      <c r="N19" s="21"/>
      <c r="O19" s="8"/>
      <c r="P19" s="21"/>
      <c r="Q19" s="8"/>
      <c r="R19" s="28"/>
    </row>
    <row r="20" spans="1:18">
      <c r="A20" s="1" t="s">
        <v>157</v>
      </c>
      <c r="B20" s="1" t="s">
        <v>31</v>
      </c>
      <c r="C20" s="3">
        <v>45488</v>
      </c>
      <c r="D20" s="25">
        <f t="shared" si="0"/>
        <v>7</v>
      </c>
      <c r="E20" s="25">
        <f t="shared" si="1"/>
        <v>2024</v>
      </c>
      <c r="F20" s="7" t="s">
        <v>80</v>
      </c>
      <c r="G20" s="2" t="s">
        <v>111</v>
      </c>
      <c r="H20" s="2" t="s">
        <v>117</v>
      </c>
      <c r="I20" s="9">
        <v>4460</v>
      </c>
      <c r="J20" s="10" t="s">
        <v>126</v>
      </c>
      <c r="K20" s="8">
        <v>45489</v>
      </c>
      <c r="L20" s="21">
        <v>4460</v>
      </c>
      <c r="M20" s="8"/>
      <c r="N20" s="21"/>
      <c r="O20" s="8"/>
      <c r="P20" s="21"/>
      <c r="Q20" s="8"/>
      <c r="R20" s="28"/>
    </row>
    <row r="21" spans="1:18">
      <c r="A21" s="1" t="s">
        <v>158</v>
      </c>
      <c r="B21" s="1" t="s">
        <v>47</v>
      </c>
      <c r="C21" s="3">
        <v>45212</v>
      </c>
      <c r="D21" s="25">
        <f t="shared" si="0"/>
        <v>10</v>
      </c>
      <c r="E21" s="25">
        <f t="shared" si="1"/>
        <v>2023</v>
      </c>
      <c r="F21" s="7" t="s">
        <v>96</v>
      </c>
      <c r="G21" s="2" t="s">
        <v>111</v>
      </c>
      <c r="H21" s="2" t="s">
        <v>120</v>
      </c>
      <c r="I21" s="9">
        <v>8583</v>
      </c>
      <c r="J21" s="10" t="s">
        <v>136</v>
      </c>
      <c r="K21" s="8">
        <v>45213</v>
      </c>
      <c r="L21" s="21">
        <v>2145.75</v>
      </c>
      <c r="M21" s="8">
        <v>45242</v>
      </c>
      <c r="N21" s="21">
        <v>2145.75</v>
      </c>
      <c r="O21" s="8">
        <v>45257</v>
      </c>
      <c r="P21" s="21">
        <v>2145.75</v>
      </c>
      <c r="Q21" s="8">
        <v>45272</v>
      </c>
      <c r="R21" s="28">
        <v>2145.75</v>
      </c>
    </row>
    <row r="22" spans="1:18">
      <c r="A22" s="1" t="s">
        <v>159</v>
      </c>
      <c r="B22" s="1" t="s">
        <v>48</v>
      </c>
      <c r="C22" s="3">
        <v>45291</v>
      </c>
      <c r="D22" s="25">
        <f t="shared" si="0"/>
        <v>12</v>
      </c>
      <c r="E22" s="25">
        <f t="shared" si="1"/>
        <v>2023</v>
      </c>
      <c r="F22" s="7" t="s">
        <v>97</v>
      </c>
      <c r="G22" s="2" t="s">
        <v>112</v>
      </c>
      <c r="H22" s="2" t="s">
        <v>123</v>
      </c>
      <c r="I22" s="9">
        <v>1637</v>
      </c>
      <c r="J22" s="10" t="s">
        <v>126</v>
      </c>
      <c r="K22" s="8">
        <v>45292</v>
      </c>
      <c r="L22" s="21">
        <v>1637</v>
      </c>
      <c r="M22" s="8"/>
      <c r="N22" s="21"/>
      <c r="O22" s="8"/>
      <c r="P22" s="21"/>
      <c r="Q22" s="8"/>
      <c r="R22" s="28"/>
    </row>
    <row r="23" spans="1:18">
      <c r="A23" s="1" t="s">
        <v>160</v>
      </c>
      <c r="B23" s="1" t="s">
        <v>27</v>
      </c>
      <c r="C23" s="3">
        <v>45169</v>
      </c>
      <c r="D23" s="25">
        <f t="shared" si="0"/>
        <v>8</v>
      </c>
      <c r="E23" s="25">
        <f t="shared" si="1"/>
        <v>2023</v>
      </c>
      <c r="F23" s="7" t="s">
        <v>76</v>
      </c>
      <c r="G23" s="2" t="s">
        <v>110</v>
      </c>
      <c r="H23" s="2" t="s">
        <v>125</v>
      </c>
      <c r="I23" s="9">
        <v>-9068</v>
      </c>
      <c r="J23" s="10" t="s">
        <v>137</v>
      </c>
      <c r="K23" s="8">
        <v>45170</v>
      </c>
      <c r="L23" s="21">
        <v>-3022.6666666666665</v>
      </c>
      <c r="M23" s="8">
        <v>45199</v>
      </c>
      <c r="N23" s="21">
        <v>-3022.6666666666665</v>
      </c>
      <c r="O23" s="8">
        <v>45214</v>
      </c>
      <c r="P23" s="21">
        <v>-3022.6666666666665</v>
      </c>
      <c r="Q23" s="8"/>
      <c r="R23" s="28"/>
    </row>
    <row r="24" spans="1:18">
      <c r="A24" s="1" t="s">
        <v>161</v>
      </c>
      <c r="B24" s="1" t="s">
        <v>51</v>
      </c>
      <c r="C24" s="3">
        <v>45210</v>
      </c>
      <c r="D24" s="25">
        <f t="shared" si="0"/>
        <v>10</v>
      </c>
      <c r="E24" s="25">
        <f t="shared" si="1"/>
        <v>2023</v>
      </c>
      <c r="F24" s="7" t="s">
        <v>100</v>
      </c>
      <c r="G24" s="2" t="s">
        <v>111</v>
      </c>
      <c r="H24" s="2" t="s">
        <v>121</v>
      </c>
      <c r="I24" s="9">
        <v>8111</v>
      </c>
      <c r="J24" s="10" t="s">
        <v>126</v>
      </c>
      <c r="K24" s="8">
        <v>45211</v>
      </c>
      <c r="L24" s="21">
        <v>8111</v>
      </c>
      <c r="M24" s="8"/>
      <c r="N24" s="21"/>
      <c r="O24" s="8"/>
      <c r="P24" s="21"/>
      <c r="Q24" s="8"/>
      <c r="R24" s="28"/>
    </row>
    <row r="25" spans="1:18">
      <c r="A25" s="1" t="s">
        <v>162</v>
      </c>
      <c r="B25" s="1" t="s">
        <v>34</v>
      </c>
      <c r="C25" s="3">
        <v>45192</v>
      </c>
      <c r="D25" s="25">
        <f t="shared" si="0"/>
        <v>9</v>
      </c>
      <c r="E25" s="25">
        <f t="shared" si="1"/>
        <v>2023</v>
      </c>
      <c r="F25" s="7" t="s">
        <v>83</v>
      </c>
      <c r="G25" s="2" t="s">
        <v>110</v>
      </c>
      <c r="H25" s="2" t="s">
        <v>113</v>
      </c>
      <c r="I25" s="9">
        <v>-3919</v>
      </c>
      <c r="J25" s="10" t="s">
        <v>137</v>
      </c>
      <c r="K25" s="8">
        <v>45193</v>
      </c>
      <c r="L25" s="21">
        <v>-1306.3333333333333</v>
      </c>
      <c r="M25" s="8">
        <v>45222</v>
      </c>
      <c r="N25" s="21">
        <v>-1306.3333333333333</v>
      </c>
      <c r="O25" s="8">
        <v>45237</v>
      </c>
      <c r="P25" s="21">
        <v>-1306.3333333333333</v>
      </c>
      <c r="Q25" s="8"/>
      <c r="R25" s="28"/>
    </row>
    <row r="26" spans="1:18">
      <c r="A26" s="1" t="s">
        <v>163</v>
      </c>
      <c r="B26" s="1" t="s">
        <v>48</v>
      </c>
      <c r="C26" s="3">
        <v>45346</v>
      </c>
      <c r="D26" s="25">
        <f t="shared" si="0"/>
        <v>2</v>
      </c>
      <c r="E26" s="25">
        <f t="shared" si="1"/>
        <v>2024</v>
      </c>
      <c r="F26" s="7" t="s">
        <v>97</v>
      </c>
      <c r="G26" s="2" t="s">
        <v>112</v>
      </c>
      <c r="H26" s="2" t="s">
        <v>123</v>
      </c>
      <c r="I26" s="9">
        <v>1358</v>
      </c>
      <c r="J26" s="10" t="s">
        <v>126</v>
      </c>
      <c r="K26" s="8">
        <v>45347</v>
      </c>
      <c r="L26" s="21">
        <v>1358</v>
      </c>
      <c r="M26" s="8"/>
      <c r="N26" s="21"/>
      <c r="O26" s="8"/>
      <c r="P26" s="21"/>
      <c r="Q26" s="8"/>
      <c r="R26" s="28"/>
    </row>
    <row r="27" spans="1:18">
      <c r="A27" s="1" t="s">
        <v>164</v>
      </c>
      <c r="B27" s="1" t="s">
        <v>16</v>
      </c>
      <c r="C27" s="3">
        <v>45234</v>
      </c>
      <c r="D27" s="25">
        <f t="shared" si="0"/>
        <v>11</v>
      </c>
      <c r="E27" s="25">
        <f t="shared" si="1"/>
        <v>2023</v>
      </c>
      <c r="F27" s="7" t="s">
        <v>65</v>
      </c>
      <c r="G27" s="2" t="s">
        <v>110</v>
      </c>
      <c r="H27" s="2" t="s">
        <v>125</v>
      </c>
      <c r="I27" s="9">
        <v>-2013</v>
      </c>
      <c r="J27" s="10" t="s">
        <v>126</v>
      </c>
      <c r="K27" s="8">
        <v>45235</v>
      </c>
      <c r="L27" s="21">
        <v>-2013</v>
      </c>
      <c r="M27" s="8"/>
      <c r="N27" s="21"/>
      <c r="O27" s="8"/>
      <c r="P27" s="21"/>
      <c r="Q27" s="8"/>
      <c r="R27" s="28"/>
    </row>
    <row r="28" spans="1:18">
      <c r="A28" s="1" t="s">
        <v>165</v>
      </c>
      <c r="B28" s="1" t="s">
        <v>56</v>
      </c>
      <c r="C28" s="3">
        <v>45298</v>
      </c>
      <c r="D28" s="25">
        <f t="shared" si="0"/>
        <v>1</v>
      </c>
      <c r="E28" s="25">
        <f t="shared" si="1"/>
        <v>2024</v>
      </c>
      <c r="F28" s="7" t="s">
        <v>105</v>
      </c>
      <c r="G28" s="2" t="s">
        <v>110</v>
      </c>
      <c r="H28" s="2" t="s">
        <v>113</v>
      </c>
      <c r="I28" s="9">
        <v>-9208</v>
      </c>
      <c r="J28" s="10" t="s">
        <v>138</v>
      </c>
      <c r="K28" s="8">
        <v>45299</v>
      </c>
      <c r="L28" s="21">
        <v>-4604</v>
      </c>
      <c r="M28" s="8">
        <v>45328</v>
      </c>
      <c r="N28" s="21">
        <v>-4604</v>
      </c>
      <c r="O28" s="8"/>
      <c r="P28" s="21"/>
      <c r="Q28" s="8"/>
      <c r="R28" s="28"/>
    </row>
    <row r="29" spans="1:18">
      <c r="A29" s="1" t="s">
        <v>166</v>
      </c>
      <c r="B29" s="1" t="s">
        <v>41</v>
      </c>
      <c r="C29" s="3">
        <v>45161</v>
      </c>
      <c r="D29" s="25">
        <f t="shared" si="0"/>
        <v>8</v>
      </c>
      <c r="E29" s="25">
        <f t="shared" si="1"/>
        <v>2023</v>
      </c>
      <c r="F29" s="7" t="s">
        <v>90</v>
      </c>
      <c r="G29" s="2" t="s">
        <v>111</v>
      </c>
      <c r="H29" s="2" t="s">
        <v>118</v>
      </c>
      <c r="I29" s="9">
        <v>674</v>
      </c>
      <c r="J29" s="10" t="s">
        <v>137</v>
      </c>
      <c r="K29" s="8">
        <v>45162</v>
      </c>
      <c r="L29" s="21">
        <v>224.66666666666666</v>
      </c>
      <c r="M29" s="8">
        <v>45191</v>
      </c>
      <c r="N29" s="21">
        <v>224.66666666666666</v>
      </c>
      <c r="O29" s="8">
        <v>45206</v>
      </c>
      <c r="P29" s="21">
        <v>224.66666666666666</v>
      </c>
      <c r="Q29" s="8"/>
      <c r="R29" s="28"/>
    </row>
    <row r="30" spans="1:18">
      <c r="A30" s="1" t="s">
        <v>167</v>
      </c>
      <c r="B30" s="1" t="s">
        <v>27</v>
      </c>
      <c r="C30" s="3">
        <v>45482</v>
      </c>
      <c r="D30" s="25">
        <f t="shared" si="0"/>
        <v>7</v>
      </c>
      <c r="E30" s="25">
        <f t="shared" si="1"/>
        <v>2024</v>
      </c>
      <c r="F30" s="7" t="s">
        <v>76</v>
      </c>
      <c r="G30" s="2" t="s">
        <v>110</v>
      </c>
      <c r="H30" s="2" t="s">
        <v>125</v>
      </c>
      <c r="I30" s="9">
        <v>-2715</v>
      </c>
      <c r="J30" s="10" t="s">
        <v>137</v>
      </c>
      <c r="K30" s="8">
        <v>45483</v>
      </c>
      <c r="L30" s="21">
        <v>-905</v>
      </c>
      <c r="M30" s="8">
        <v>45512</v>
      </c>
      <c r="N30" s="21">
        <v>-905</v>
      </c>
      <c r="O30" s="8">
        <v>45527</v>
      </c>
      <c r="P30" s="21">
        <v>-905</v>
      </c>
      <c r="Q30" s="8"/>
      <c r="R30" s="28"/>
    </row>
    <row r="31" spans="1:18">
      <c r="A31" s="1" t="s">
        <v>168</v>
      </c>
      <c r="B31" s="1" t="s">
        <v>18</v>
      </c>
      <c r="C31" s="3">
        <v>45320</v>
      </c>
      <c r="D31" s="25">
        <f t="shared" si="0"/>
        <v>1</v>
      </c>
      <c r="E31" s="25">
        <f t="shared" si="1"/>
        <v>2024</v>
      </c>
      <c r="F31" s="7" t="s">
        <v>67</v>
      </c>
      <c r="G31" s="2" t="s">
        <v>111</v>
      </c>
      <c r="H31" s="2" t="s">
        <v>121</v>
      </c>
      <c r="I31" s="9">
        <v>912</v>
      </c>
      <c r="J31" s="10" t="s">
        <v>136</v>
      </c>
      <c r="K31" s="8">
        <v>45321</v>
      </c>
      <c r="L31" s="21">
        <v>228</v>
      </c>
      <c r="M31" s="8">
        <v>45350</v>
      </c>
      <c r="N31" s="21">
        <v>228</v>
      </c>
      <c r="O31" s="8">
        <v>45365</v>
      </c>
      <c r="P31" s="21">
        <v>228</v>
      </c>
      <c r="Q31" s="8">
        <v>45380</v>
      </c>
      <c r="R31" s="28">
        <v>228</v>
      </c>
    </row>
    <row r="32" spans="1:18">
      <c r="A32" s="1" t="s">
        <v>169</v>
      </c>
      <c r="B32" s="1" t="s">
        <v>20</v>
      </c>
      <c r="C32" s="3">
        <v>45245</v>
      </c>
      <c r="D32" s="25">
        <f t="shared" si="0"/>
        <v>11</v>
      </c>
      <c r="E32" s="25">
        <f t="shared" si="1"/>
        <v>2023</v>
      </c>
      <c r="F32" s="7" t="s">
        <v>69</v>
      </c>
      <c r="G32" s="2" t="s">
        <v>111</v>
      </c>
      <c r="H32" s="2" t="s">
        <v>117</v>
      </c>
      <c r="I32" s="9">
        <v>1239</v>
      </c>
      <c r="J32" s="10" t="s">
        <v>136</v>
      </c>
      <c r="K32" s="8">
        <v>45246</v>
      </c>
      <c r="L32" s="21">
        <v>309.75</v>
      </c>
      <c r="M32" s="8">
        <v>45275</v>
      </c>
      <c r="N32" s="21">
        <v>309.75</v>
      </c>
      <c r="O32" s="8">
        <v>45290</v>
      </c>
      <c r="P32" s="21">
        <v>309.75</v>
      </c>
      <c r="Q32" s="8">
        <v>45305</v>
      </c>
      <c r="R32" s="28">
        <v>309.75</v>
      </c>
    </row>
    <row r="33" spans="1:18">
      <c r="A33" s="1" t="s">
        <v>170</v>
      </c>
      <c r="B33" s="1" t="s">
        <v>23</v>
      </c>
      <c r="C33" s="3">
        <v>45318</v>
      </c>
      <c r="D33" s="25">
        <f t="shared" si="0"/>
        <v>1</v>
      </c>
      <c r="E33" s="25">
        <f t="shared" si="1"/>
        <v>2024</v>
      </c>
      <c r="F33" s="7" t="s">
        <v>72</v>
      </c>
      <c r="G33" s="2" t="s">
        <v>110</v>
      </c>
      <c r="H33" s="2" t="s">
        <v>113</v>
      </c>
      <c r="I33" s="9">
        <v>-9295</v>
      </c>
      <c r="J33" s="10" t="s">
        <v>126</v>
      </c>
      <c r="K33" s="8">
        <v>45319</v>
      </c>
      <c r="L33" s="21">
        <v>-9295</v>
      </c>
      <c r="M33" s="8"/>
      <c r="N33" s="21"/>
      <c r="O33" s="8"/>
      <c r="P33" s="21"/>
      <c r="Q33" s="8"/>
      <c r="R33" s="28"/>
    </row>
    <row r="34" spans="1:18">
      <c r="A34" s="1" t="s">
        <v>171</v>
      </c>
      <c r="B34" s="1" t="s">
        <v>53</v>
      </c>
      <c r="C34" s="3">
        <v>45209</v>
      </c>
      <c r="D34" s="25">
        <f t="shared" si="0"/>
        <v>10</v>
      </c>
      <c r="E34" s="25">
        <f t="shared" si="1"/>
        <v>2023</v>
      </c>
      <c r="F34" s="7" t="s">
        <v>102</v>
      </c>
      <c r="G34" s="2" t="s">
        <v>111</v>
      </c>
      <c r="H34" s="2" t="s">
        <v>117</v>
      </c>
      <c r="I34" s="9">
        <v>3922</v>
      </c>
      <c r="J34" s="10" t="s">
        <v>137</v>
      </c>
      <c r="K34" s="8">
        <v>45210</v>
      </c>
      <c r="L34" s="21">
        <v>1307.3333333333333</v>
      </c>
      <c r="M34" s="8">
        <v>45239</v>
      </c>
      <c r="N34" s="21">
        <v>1307.3333333333333</v>
      </c>
      <c r="O34" s="8">
        <v>45254</v>
      </c>
      <c r="P34" s="21">
        <v>1307.3333333333333</v>
      </c>
      <c r="Q34" s="8"/>
      <c r="R34" s="28"/>
    </row>
    <row r="35" spans="1:18">
      <c r="A35" s="1" t="s">
        <v>172</v>
      </c>
      <c r="B35" s="1" t="s">
        <v>46</v>
      </c>
      <c r="C35" s="3">
        <v>45129</v>
      </c>
      <c r="D35" s="25">
        <f t="shared" si="0"/>
        <v>7</v>
      </c>
      <c r="E35" s="25">
        <f t="shared" si="1"/>
        <v>2023</v>
      </c>
      <c r="F35" s="7" t="s">
        <v>95</v>
      </c>
      <c r="G35" s="2" t="s">
        <v>112</v>
      </c>
      <c r="H35" s="2" t="s">
        <v>122</v>
      </c>
      <c r="I35" s="9">
        <v>6216</v>
      </c>
      <c r="J35" s="10" t="s">
        <v>126</v>
      </c>
      <c r="K35" s="8">
        <v>45130</v>
      </c>
      <c r="L35" s="21">
        <v>6216</v>
      </c>
      <c r="M35" s="8"/>
      <c r="N35" s="21"/>
      <c r="O35" s="8"/>
      <c r="P35" s="21"/>
      <c r="Q35" s="8"/>
      <c r="R35" s="28"/>
    </row>
    <row r="36" spans="1:18">
      <c r="A36" s="1" t="s">
        <v>173</v>
      </c>
      <c r="B36" s="1" t="s">
        <v>31</v>
      </c>
      <c r="C36" s="3">
        <v>45131</v>
      </c>
      <c r="D36" s="25">
        <f t="shared" si="0"/>
        <v>7</v>
      </c>
      <c r="E36" s="25">
        <f t="shared" si="1"/>
        <v>2023</v>
      </c>
      <c r="F36" s="7" t="s">
        <v>80</v>
      </c>
      <c r="G36" s="2" t="s">
        <v>111</v>
      </c>
      <c r="H36" s="2" t="s">
        <v>117</v>
      </c>
      <c r="I36" s="9">
        <v>2210</v>
      </c>
      <c r="J36" s="10" t="s">
        <v>138</v>
      </c>
      <c r="K36" s="8">
        <v>45132</v>
      </c>
      <c r="L36" s="21">
        <v>1105</v>
      </c>
      <c r="M36" s="8">
        <v>45161</v>
      </c>
      <c r="N36" s="21">
        <v>1105</v>
      </c>
      <c r="O36" s="8"/>
      <c r="P36" s="21"/>
      <c r="Q36" s="8"/>
      <c r="R36" s="28"/>
    </row>
    <row r="37" spans="1:18">
      <c r="A37" s="1" t="s">
        <v>174</v>
      </c>
      <c r="B37" s="1" t="s">
        <v>48</v>
      </c>
      <c r="C37" s="3">
        <v>45357</v>
      </c>
      <c r="D37" s="25">
        <f t="shared" si="0"/>
        <v>3</v>
      </c>
      <c r="E37" s="25">
        <f t="shared" si="1"/>
        <v>2024</v>
      </c>
      <c r="F37" s="7" t="s">
        <v>97</v>
      </c>
      <c r="G37" s="2" t="s">
        <v>112</v>
      </c>
      <c r="H37" s="2" t="s">
        <v>123</v>
      </c>
      <c r="I37" s="9">
        <v>9667</v>
      </c>
      <c r="J37" s="10" t="s">
        <v>126</v>
      </c>
      <c r="K37" s="8">
        <v>45358</v>
      </c>
      <c r="L37" s="21">
        <v>9667</v>
      </c>
      <c r="M37" s="8"/>
      <c r="N37" s="21"/>
      <c r="O37" s="8"/>
      <c r="P37" s="21"/>
      <c r="Q37" s="8"/>
      <c r="R37" s="28"/>
    </row>
    <row r="38" spans="1:18">
      <c r="A38" s="1" t="s">
        <v>175</v>
      </c>
      <c r="B38" s="1" t="s">
        <v>15</v>
      </c>
      <c r="C38" s="3">
        <v>45391</v>
      </c>
      <c r="D38" s="25">
        <f t="shared" si="0"/>
        <v>4</v>
      </c>
      <c r="E38" s="25">
        <f t="shared" si="1"/>
        <v>2024</v>
      </c>
      <c r="F38" s="7" t="s">
        <v>64</v>
      </c>
      <c r="G38" s="2" t="s">
        <v>112</v>
      </c>
      <c r="H38" s="2" t="s">
        <v>123</v>
      </c>
      <c r="I38" s="9">
        <v>8317</v>
      </c>
      <c r="J38" s="10" t="s">
        <v>126</v>
      </c>
      <c r="K38" s="8">
        <v>45392</v>
      </c>
      <c r="L38" s="21">
        <v>8317</v>
      </c>
      <c r="M38" s="8"/>
      <c r="N38" s="21"/>
      <c r="O38" s="8"/>
      <c r="P38" s="21"/>
      <c r="Q38" s="8"/>
      <c r="R38" s="28"/>
    </row>
    <row r="39" spans="1:18">
      <c r="A39" s="1" t="s">
        <v>176</v>
      </c>
      <c r="B39" s="1" t="s">
        <v>26</v>
      </c>
      <c r="C39" s="3">
        <v>45201</v>
      </c>
      <c r="D39" s="25">
        <f t="shared" si="0"/>
        <v>10</v>
      </c>
      <c r="E39" s="25">
        <f t="shared" si="1"/>
        <v>2023</v>
      </c>
      <c r="F39" s="7" t="s">
        <v>75</v>
      </c>
      <c r="G39" s="2" t="s">
        <v>112</v>
      </c>
      <c r="H39" s="2" t="s">
        <v>123</v>
      </c>
      <c r="I39" s="9">
        <v>2499</v>
      </c>
      <c r="J39" s="10" t="s">
        <v>126</v>
      </c>
      <c r="K39" s="8">
        <v>45202</v>
      </c>
      <c r="L39" s="21">
        <v>2499</v>
      </c>
      <c r="M39" s="8"/>
      <c r="N39" s="21"/>
      <c r="O39" s="8"/>
      <c r="P39" s="21"/>
      <c r="Q39" s="8"/>
      <c r="R39" s="28"/>
    </row>
    <row r="40" spans="1:18">
      <c r="A40" s="1" t="s">
        <v>177</v>
      </c>
      <c r="B40" s="1" t="s">
        <v>18</v>
      </c>
      <c r="C40" s="3">
        <v>45255</v>
      </c>
      <c r="D40" s="25">
        <f t="shared" si="0"/>
        <v>11</v>
      </c>
      <c r="E40" s="25">
        <f t="shared" si="1"/>
        <v>2023</v>
      </c>
      <c r="F40" s="7" t="s">
        <v>67</v>
      </c>
      <c r="G40" s="2" t="s">
        <v>111</v>
      </c>
      <c r="H40" s="2" t="s">
        <v>121</v>
      </c>
      <c r="I40" s="9">
        <v>2271</v>
      </c>
      <c r="J40" s="10" t="s">
        <v>137</v>
      </c>
      <c r="K40" s="8">
        <v>45256</v>
      </c>
      <c r="L40" s="21">
        <v>757</v>
      </c>
      <c r="M40" s="8">
        <v>45285</v>
      </c>
      <c r="N40" s="21">
        <v>757</v>
      </c>
      <c r="O40" s="8">
        <v>45300</v>
      </c>
      <c r="P40" s="21">
        <v>757</v>
      </c>
      <c r="Q40" s="8"/>
      <c r="R40" s="28"/>
    </row>
    <row r="41" spans="1:18">
      <c r="A41" s="1" t="s">
        <v>178</v>
      </c>
      <c r="B41" s="1" t="s">
        <v>15</v>
      </c>
      <c r="C41" s="3">
        <v>45509</v>
      </c>
      <c r="D41" s="25">
        <f t="shared" si="0"/>
        <v>8</v>
      </c>
      <c r="E41" s="25">
        <f t="shared" si="1"/>
        <v>2024</v>
      </c>
      <c r="F41" s="7" t="s">
        <v>64</v>
      </c>
      <c r="G41" s="2" t="s">
        <v>112</v>
      </c>
      <c r="H41" s="2" t="s">
        <v>123</v>
      </c>
      <c r="I41" s="9">
        <v>3684</v>
      </c>
      <c r="J41" s="10" t="s">
        <v>126</v>
      </c>
      <c r="K41" s="8">
        <v>45510</v>
      </c>
      <c r="L41" s="21">
        <v>3684</v>
      </c>
      <c r="M41" s="8"/>
      <c r="N41" s="21"/>
      <c r="O41" s="8"/>
      <c r="P41" s="21"/>
      <c r="Q41" s="8"/>
      <c r="R41" s="28"/>
    </row>
    <row r="42" spans="1:18">
      <c r="A42" s="1" t="s">
        <v>179</v>
      </c>
      <c r="B42" s="1" t="s">
        <v>28</v>
      </c>
      <c r="C42" s="3">
        <v>45216</v>
      </c>
      <c r="D42" s="25">
        <f t="shared" si="0"/>
        <v>10</v>
      </c>
      <c r="E42" s="25">
        <f t="shared" si="1"/>
        <v>2023</v>
      </c>
      <c r="F42" s="7" t="s">
        <v>77</v>
      </c>
      <c r="G42" s="2" t="s">
        <v>110</v>
      </c>
      <c r="H42" s="2" t="s">
        <v>114</v>
      </c>
      <c r="I42" s="9">
        <v>-5533</v>
      </c>
      <c r="J42" s="10" t="s">
        <v>138</v>
      </c>
      <c r="K42" s="8">
        <v>45217</v>
      </c>
      <c r="L42" s="21">
        <v>-2766.5</v>
      </c>
      <c r="M42" s="8">
        <v>45246</v>
      </c>
      <c r="N42" s="21">
        <v>-2766.5</v>
      </c>
      <c r="O42" s="8"/>
      <c r="P42" s="21"/>
      <c r="Q42" s="8"/>
      <c r="R42" s="28"/>
    </row>
    <row r="43" spans="1:18">
      <c r="A43" s="1" t="s">
        <v>180</v>
      </c>
      <c r="B43" s="1" t="s">
        <v>22</v>
      </c>
      <c r="C43" s="3">
        <v>45292</v>
      </c>
      <c r="D43" s="25">
        <f t="shared" si="0"/>
        <v>1</v>
      </c>
      <c r="E43" s="25">
        <f t="shared" si="1"/>
        <v>2024</v>
      </c>
      <c r="F43" s="7" t="s">
        <v>71</v>
      </c>
      <c r="G43" s="2" t="s">
        <v>111</v>
      </c>
      <c r="H43" s="2" t="s">
        <v>119</v>
      </c>
      <c r="I43" s="9">
        <v>9498</v>
      </c>
      <c r="J43" s="10" t="s">
        <v>137</v>
      </c>
      <c r="K43" s="8">
        <v>45293</v>
      </c>
      <c r="L43" s="21">
        <v>3166</v>
      </c>
      <c r="M43" s="8">
        <v>45322</v>
      </c>
      <c r="N43" s="21">
        <v>3166</v>
      </c>
      <c r="O43" s="8">
        <v>45337</v>
      </c>
      <c r="P43" s="21">
        <v>3166</v>
      </c>
      <c r="Q43" s="8"/>
      <c r="R43" s="28"/>
    </row>
    <row r="44" spans="1:18">
      <c r="A44" s="1" t="s">
        <v>181</v>
      </c>
      <c r="B44" s="1" t="s">
        <v>15</v>
      </c>
      <c r="C44" s="3">
        <v>45150</v>
      </c>
      <c r="D44" s="25">
        <f t="shared" si="0"/>
        <v>8</v>
      </c>
      <c r="E44" s="25">
        <f t="shared" si="1"/>
        <v>2023</v>
      </c>
      <c r="F44" s="7" t="s">
        <v>64</v>
      </c>
      <c r="G44" s="2" t="s">
        <v>112</v>
      </c>
      <c r="H44" s="2" t="s">
        <v>123</v>
      </c>
      <c r="I44" s="9">
        <v>4564</v>
      </c>
      <c r="J44" s="10" t="s">
        <v>126</v>
      </c>
      <c r="K44" s="8">
        <v>45151</v>
      </c>
      <c r="L44" s="21">
        <v>4564</v>
      </c>
      <c r="M44" s="8"/>
      <c r="N44" s="21"/>
      <c r="O44" s="8"/>
      <c r="P44" s="21"/>
      <c r="Q44" s="8"/>
      <c r="R44" s="28"/>
    </row>
    <row r="45" spans="1:18">
      <c r="A45" s="1" t="s">
        <v>182</v>
      </c>
      <c r="B45" s="1" t="s">
        <v>52</v>
      </c>
      <c r="C45" s="3">
        <v>45493</v>
      </c>
      <c r="D45" s="25">
        <f t="shared" si="0"/>
        <v>7</v>
      </c>
      <c r="E45" s="25">
        <f t="shared" si="1"/>
        <v>2024</v>
      </c>
      <c r="F45" s="7" t="s">
        <v>101</v>
      </c>
      <c r="G45" s="2" t="s">
        <v>111</v>
      </c>
      <c r="H45" s="2" t="s">
        <v>118</v>
      </c>
      <c r="I45" s="9">
        <v>5538</v>
      </c>
      <c r="J45" s="10" t="s">
        <v>136</v>
      </c>
      <c r="K45" s="8">
        <v>45494</v>
      </c>
      <c r="L45" s="21">
        <v>1384.5</v>
      </c>
      <c r="M45" s="8">
        <v>45523</v>
      </c>
      <c r="N45" s="21">
        <v>1384.5</v>
      </c>
      <c r="O45" s="8">
        <v>45538</v>
      </c>
      <c r="P45" s="21">
        <v>1384.5</v>
      </c>
      <c r="Q45" s="8">
        <v>45553</v>
      </c>
      <c r="R45" s="28">
        <v>1384.5</v>
      </c>
    </row>
    <row r="46" spans="1:18">
      <c r="A46" s="1" t="s">
        <v>183</v>
      </c>
      <c r="B46" s="1" t="s">
        <v>56</v>
      </c>
      <c r="C46" s="3">
        <v>45320</v>
      </c>
      <c r="D46" s="25">
        <f t="shared" si="0"/>
        <v>1</v>
      </c>
      <c r="E46" s="25">
        <f t="shared" si="1"/>
        <v>2024</v>
      </c>
      <c r="F46" s="7" t="s">
        <v>105</v>
      </c>
      <c r="G46" s="2" t="s">
        <v>110</v>
      </c>
      <c r="H46" s="2" t="s">
        <v>113</v>
      </c>
      <c r="I46" s="9">
        <v>-3074</v>
      </c>
      <c r="J46" s="10" t="s">
        <v>126</v>
      </c>
      <c r="K46" s="8">
        <v>45321</v>
      </c>
      <c r="L46" s="21">
        <v>-3074</v>
      </c>
      <c r="M46" s="8"/>
      <c r="N46" s="21"/>
      <c r="O46" s="8"/>
      <c r="P46" s="21"/>
      <c r="Q46" s="8"/>
      <c r="R46" s="28"/>
    </row>
    <row r="47" spans="1:18">
      <c r="A47" s="1" t="s">
        <v>184</v>
      </c>
      <c r="B47" s="1" t="s">
        <v>22</v>
      </c>
      <c r="C47" s="3">
        <v>45527</v>
      </c>
      <c r="D47" s="25">
        <f t="shared" si="0"/>
        <v>8</v>
      </c>
      <c r="E47" s="25">
        <f t="shared" si="1"/>
        <v>2024</v>
      </c>
      <c r="F47" s="7" t="s">
        <v>71</v>
      </c>
      <c r="G47" s="2" t="s">
        <v>111</v>
      </c>
      <c r="H47" s="2" t="s">
        <v>119</v>
      </c>
      <c r="I47" s="9">
        <v>1534</v>
      </c>
      <c r="J47" s="10" t="s">
        <v>136</v>
      </c>
      <c r="K47" s="8">
        <v>45528</v>
      </c>
      <c r="L47" s="21">
        <v>383.5</v>
      </c>
      <c r="M47" s="8">
        <v>45557</v>
      </c>
      <c r="N47" s="21">
        <v>383.5</v>
      </c>
      <c r="O47" s="8">
        <v>45572</v>
      </c>
      <c r="P47" s="21">
        <v>383.5</v>
      </c>
      <c r="Q47" s="8">
        <v>45587</v>
      </c>
      <c r="R47" s="28">
        <v>383.5</v>
      </c>
    </row>
    <row r="48" spans="1:18">
      <c r="A48" s="1" t="s">
        <v>185</v>
      </c>
      <c r="B48" s="1" t="s">
        <v>16</v>
      </c>
      <c r="C48" s="3">
        <v>45178</v>
      </c>
      <c r="D48" s="25">
        <f t="shared" si="0"/>
        <v>9</v>
      </c>
      <c r="E48" s="25">
        <f t="shared" si="1"/>
        <v>2023</v>
      </c>
      <c r="F48" s="7" t="s">
        <v>65</v>
      </c>
      <c r="G48" s="2" t="s">
        <v>110</v>
      </c>
      <c r="H48" s="2" t="s">
        <v>125</v>
      </c>
      <c r="I48" s="9">
        <v>-7469</v>
      </c>
      <c r="J48" s="10" t="s">
        <v>126</v>
      </c>
      <c r="K48" s="8">
        <v>45179</v>
      </c>
      <c r="L48" s="21">
        <v>-7469</v>
      </c>
      <c r="M48" s="8"/>
      <c r="N48" s="21"/>
      <c r="O48" s="8"/>
      <c r="P48" s="21"/>
      <c r="Q48" s="8"/>
      <c r="R48" s="28"/>
    </row>
    <row r="49" spans="1:18">
      <c r="A49" s="1" t="s">
        <v>186</v>
      </c>
      <c r="B49" s="1" t="s">
        <v>19</v>
      </c>
      <c r="C49" s="3">
        <v>45363</v>
      </c>
      <c r="D49" s="25">
        <f t="shared" si="0"/>
        <v>3</v>
      </c>
      <c r="E49" s="25">
        <f t="shared" si="1"/>
        <v>2024</v>
      </c>
      <c r="F49" s="7" t="s">
        <v>68</v>
      </c>
      <c r="G49" s="2" t="s">
        <v>111</v>
      </c>
      <c r="H49" s="2" t="s">
        <v>118</v>
      </c>
      <c r="I49" s="9">
        <v>9947</v>
      </c>
      <c r="J49" s="10" t="s">
        <v>137</v>
      </c>
      <c r="K49" s="8">
        <v>45364</v>
      </c>
      <c r="L49" s="21">
        <v>3315.6666666666665</v>
      </c>
      <c r="M49" s="8">
        <v>45393</v>
      </c>
      <c r="N49" s="21">
        <v>3315.6666666666665</v>
      </c>
      <c r="O49" s="8">
        <v>45408</v>
      </c>
      <c r="P49" s="21">
        <v>3315.6666666666665</v>
      </c>
      <c r="Q49" s="8"/>
      <c r="R49" s="28"/>
    </row>
    <row r="50" spans="1:18">
      <c r="A50" s="1" t="s">
        <v>187</v>
      </c>
      <c r="B50" s="1" t="s">
        <v>39</v>
      </c>
      <c r="C50" s="3">
        <v>45472</v>
      </c>
      <c r="D50" s="25">
        <f t="shared" si="0"/>
        <v>6</v>
      </c>
      <c r="E50" s="25">
        <f t="shared" si="1"/>
        <v>2024</v>
      </c>
      <c r="F50" s="7" t="s">
        <v>88</v>
      </c>
      <c r="G50" s="2" t="s">
        <v>110</v>
      </c>
      <c r="H50" s="2" t="s">
        <v>114</v>
      </c>
      <c r="I50" s="9">
        <v>-2814</v>
      </c>
      <c r="J50" s="10" t="s">
        <v>126</v>
      </c>
      <c r="K50" s="8">
        <v>45473</v>
      </c>
      <c r="L50" s="21">
        <v>-2814</v>
      </c>
      <c r="M50" s="8"/>
      <c r="N50" s="21"/>
      <c r="O50" s="8"/>
      <c r="P50" s="21"/>
      <c r="Q50" s="8"/>
      <c r="R50" s="28"/>
    </row>
    <row r="51" spans="1:18">
      <c r="A51" s="1" t="s">
        <v>188</v>
      </c>
      <c r="B51" s="1" t="s">
        <v>26</v>
      </c>
      <c r="C51" s="3">
        <v>45285</v>
      </c>
      <c r="D51" s="25">
        <f t="shared" si="0"/>
        <v>12</v>
      </c>
      <c r="E51" s="25">
        <f t="shared" si="1"/>
        <v>2023</v>
      </c>
      <c r="F51" s="7" t="s">
        <v>75</v>
      </c>
      <c r="G51" s="2" t="s">
        <v>112</v>
      </c>
      <c r="H51" s="2" t="s">
        <v>123</v>
      </c>
      <c r="I51" s="9">
        <v>2049</v>
      </c>
      <c r="J51" s="10" t="s">
        <v>126</v>
      </c>
      <c r="K51" s="8">
        <v>45286</v>
      </c>
      <c r="L51" s="21">
        <v>2049</v>
      </c>
      <c r="M51" s="8"/>
      <c r="N51" s="21"/>
      <c r="O51" s="8"/>
      <c r="P51" s="21"/>
      <c r="Q51" s="8"/>
      <c r="R51" s="28"/>
    </row>
    <row r="52" spans="1:18">
      <c r="A52" s="1" t="s">
        <v>189</v>
      </c>
      <c r="B52" s="1" t="s">
        <v>31</v>
      </c>
      <c r="C52" s="3">
        <v>45293</v>
      </c>
      <c r="D52" s="25">
        <f t="shared" si="0"/>
        <v>1</v>
      </c>
      <c r="E52" s="25">
        <f t="shared" si="1"/>
        <v>2024</v>
      </c>
      <c r="F52" s="7" t="s">
        <v>80</v>
      </c>
      <c r="G52" s="2" t="s">
        <v>111</v>
      </c>
      <c r="H52" s="2" t="s">
        <v>117</v>
      </c>
      <c r="I52" s="9">
        <v>4784</v>
      </c>
      <c r="J52" s="10" t="s">
        <v>138</v>
      </c>
      <c r="K52" s="8">
        <v>45294</v>
      </c>
      <c r="L52" s="21">
        <v>2392</v>
      </c>
      <c r="M52" s="8">
        <v>45323</v>
      </c>
      <c r="N52" s="21">
        <v>2392</v>
      </c>
      <c r="O52" s="8"/>
      <c r="P52" s="21"/>
      <c r="Q52" s="8"/>
      <c r="R52" s="28"/>
    </row>
    <row r="53" spans="1:18">
      <c r="A53" s="1" t="s">
        <v>190</v>
      </c>
      <c r="B53" s="1" t="s">
        <v>19</v>
      </c>
      <c r="C53" s="3">
        <v>45089</v>
      </c>
      <c r="D53" s="25">
        <f t="shared" si="0"/>
        <v>6</v>
      </c>
      <c r="E53" s="25">
        <f t="shared" si="1"/>
        <v>2023</v>
      </c>
      <c r="F53" s="7" t="s">
        <v>68</v>
      </c>
      <c r="G53" s="4" t="s">
        <v>111</v>
      </c>
      <c r="H53" s="4" t="s">
        <v>118</v>
      </c>
      <c r="I53" s="9">
        <v>3758</v>
      </c>
      <c r="J53" s="9" t="s">
        <v>137</v>
      </c>
      <c r="K53" s="8">
        <v>45090</v>
      </c>
      <c r="L53" s="21">
        <v>1252.6666666666667</v>
      </c>
      <c r="M53" s="8">
        <v>45119</v>
      </c>
      <c r="N53" s="21">
        <v>1252.6666666666667</v>
      </c>
      <c r="O53" s="8">
        <v>45134</v>
      </c>
      <c r="P53" s="21">
        <v>1252.6666666666667</v>
      </c>
      <c r="Q53" s="8"/>
      <c r="R53" s="28"/>
    </row>
    <row r="54" spans="1:18">
      <c r="A54" s="1" t="s">
        <v>191</v>
      </c>
      <c r="B54" s="6" t="s">
        <v>37</v>
      </c>
      <c r="C54" s="7">
        <v>45240</v>
      </c>
      <c r="D54" s="25">
        <f t="shared" si="0"/>
        <v>11</v>
      </c>
      <c r="E54" s="25">
        <f t="shared" si="1"/>
        <v>2023</v>
      </c>
      <c r="F54" s="7" t="s">
        <v>86</v>
      </c>
      <c r="G54" s="4" t="s">
        <v>112</v>
      </c>
      <c r="H54" s="4" t="s">
        <v>123</v>
      </c>
      <c r="I54" s="9">
        <v>3093</v>
      </c>
      <c r="J54" s="9" t="s">
        <v>126</v>
      </c>
      <c r="K54" s="8">
        <v>45241</v>
      </c>
      <c r="L54" s="21">
        <v>3093</v>
      </c>
      <c r="M54" s="8"/>
      <c r="N54" s="21"/>
      <c r="O54" s="8"/>
      <c r="P54" s="21"/>
      <c r="Q54" s="8"/>
      <c r="R54" s="28"/>
    </row>
    <row r="55" spans="1:18">
      <c r="A55" s="1" t="s">
        <v>192</v>
      </c>
      <c r="B55" s="6" t="s">
        <v>14</v>
      </c>
      <c r="C55" s="7">
        <v>45158</v>
      </c>
      <c r="D55" s="25">
        <f t="shared" si="0"/>
        <v>8</v>
      </c>
      <c r="E55" s="25">
        <f t="shared" si="1"/>
        <v>2023</v>
      </c>
      <c r="F55" s="7" t="s">
        <v>61</v>
      </c>
      <c r="G55" s="4" t="s">
        <v>110</v>
      </c>
      <c r="H55" s="4" t="s">
        <v>113</v>
      </c>
      <c r="I55" s="9">
        <v>-6874</v>
      </c>
      <c r="J55" s="9" t="s">
        <v>137</v>
      </c>
      <c r="K55" s="8">
        <v>45159</v>
      </c>
      <c r="L55" s="21">
        <v>-2291.3333333333335</v>
      </c>
      <c r="M55" s="8">
        <v>45188</v>
      </c>
      <c r="N55" s="21">
        <v>-2291.3333333333335</v>
      </c>
      <c r="O55" s="8">
        <v>45203</v>
      </c>
      <c r="P55" s="21">
        <v>-2291.3333333333335</v>
      </c>
      <c r="Q55" s="8"/>
      <c r="R55" s="28"/>
    </row>
    <row r="56" spans="1:18">
      <c r="A56" s="1" t="s">
        <v>193</v>
      </c>
      <c r="B56" s="6" t="s">
        <v>51</v>
      </c>
      <c r="C56" s="7">
        <v>45315</v>
      </c>
      <c r="D56" s="25">
        <f t="shared" si="0"/>
        <v>1</v>
      </c>
      <c r="E56" s="25">
        <f t="shared" si="1"/>
        <v>2024</v>
      </c>
      <c r="F56" s="7" t="s">
        <v>100</v>
      </c>
      <c r="G56" s="4" t="s">
        <v>111</v>
      </c>
      <c r="H56" s="4" t="s">
        <v>121</v>
      </c>
      <c r="I56" s="9">
        <v>9167</v>
      </c>
      <c r="J56" s="9" t="s">
        <v>138</v>
      </c>
      <c r="K56" s="8">
        <v>45316</v>
      </c>
      <c r="L56" s="21">
        <v>4583.5</v>
      </c>
      <c r="M56" s="8">
        <v>45345</v>
      </c>
      <c r="N56" s="21">
        <v>4583.5</v>
      </c>
      <c r="O56" s="8"/>
      <c r="P56" s="21"/>
      <c r="Q56" s="8"/>
      <c r="R56" s="28"/>
    </row>
    <row r="57" spans="1:18">
      <c r="A57" s="1" t="s">
        <v>194</v>
      </c>
      <c r="B57" s="6" t="s">
        <v>18</v>
      </c>
      <c r="C57" s="7">
        <v>45284</v>
      </c>
      <c r="D57" s="25">
        <f t="shared" si="0"/>
        <v>12</v>
      </c>
      <c r="E57" s="25">
        <f t="shared" si="1"/>
        <v>2023</v>
      </c>
      <c r="F57" s="7" t="s">
        <v>67</v>
      </c>
      <c r="G57" s="4" t="s">
        <v>111</v>
      </c>
      <c r="H57" s="4" t="s">
        <v>121</v>
      </c>
      <c r="I57" s="9">
        <v>9532</v>
      </c>
      <c r="J57" s="9" t="s">
        <v>137</v>
      </c>
      <c r="K57" s="8">
        <v>45285</v>
      </c>
      <c r="L57" s="21">
        <v>3177.3333333333335</v>
      </c>
      <c r="M57" s="8">
        <v>45314</v>
      </c>
      <c r="N57" s="21">
        <v>3177.3333333333335</v>
      </c>
      <c r="O57" s="8">
        <v>45329</v>
      </c>
      <c r="P57" s="21">
        <v>3177.3333333333335</v>
      </c>
      <c r="Q57" s="8"/>
      <c r="R57" s="28"/>
    </row>
    <row r="58" spans="1:18">
      <c r="A58" s="1" t="s">
        <v>195</v>
      </c>
      <c r="B58" s="6" t="s">
        <v>49</v>
      </c>
      <c r="C58" s="7">
        <v>45441</v>
      </c>
      <c r="D58" s="25">
        <f t="shared" si="0"/>
        <v>5</v>
      </c>
      <c r="E58" s="25">
        <f t="shared" si="1"/>
        <v>2024</v>
      </c>
      <c r="F58" s="7" t="s">
        <v>98</v>
      </c>
      <c r="G58" s="4" t="s">
        <v>110</v>
      </c>
      <c r="H58" s="4" t="s">
        <v>125</v>
      </c>
      <c r="I58" s="9">
        <v>-4103</v>
      </c>
      <c r="J58" s="9" t="s">
        <v>126</v>
      </c>
      <c r="K58" s="8">
        <v>45442</v>
      </c>
      <c r="L58" s="21">
        <v>-4103</v>
      </c>
      <c r="M58" s="8"/>
      <c r="N58" s="21"/>
      <c r="O58" s="8"/>
      <c r="P58" s="21"/>
      <c r="Q58" s="8"/>
      <c r="R58" s="28"/>
    </row>
    <row r="59" spans="1:18">
      <c r="A59" s="1" t="s">
        <v>196</v>
      </c>
      <c r="B59" s="6" t="s">
        <v>24</v>
      </c>
      <c r="C59" s="7">
        <v>45354</v>
      </c>
      <c r="D59" s="25">
        <f t="shared" si="0"/>
        <v>3</v>
      </c>
      <c r="E59" s="25">
        <f t="shared" si="1"/>
        <v>2024</v>
      </c>
      <c r="F59" s="7" t="s">
        <v>73</v>
      </c>
      <c r="G59" s="4" t="s">
        <v>112</v>
      </c>
      <c r="H59" s="4" t="s">
        <v>122</v>
      </c>
      <c r="I59" s="9">
        <v>3979</v>
      </c>
      <c r="J59" s="9" t="s">
        <v>126</v>
      </c>
      <c r="K59" s="8">
        <v>45355</v>
      </c>
      <c r="L59" s="21">
        <v>3979</v>
      </c>
      <c r="M59" s="8"/>
      <c r="N59" s="21"/>
      <c r="O59" s="8"/>
      <c r="P59" s="21"/>
      <c r="Q59" s="8"/>
      <c r="R59" s="28"/>
    </row>
    <row r="60" spans="1:18">
      <c r="A60" s="1" t="s">
        <v>197</v>
      </c>
      <c r="B60" s="6" t="s">
        <v>13</v>
      </c>
      <c r="C60" s="7">
        <v>45306</v>
      </c>
      <c r="D60" s="25">
        <f t="shared" si="0"/>
        <v>1</v>
      </c>
      <c r="E60" s="25">
        <f t="shared" si="1"/>
        <v>2024</v>
      </c>
      <c r="F60" s="7" t="s">
        <v>63</v>
      </c>
      <c r="G60" s="4" t="s">
        <v>111</v>
      </c>
      <c r="H60" s="4" t="s">
        <v>120</v>
      </c>
      <c r="I60" s="9">
        <v>3454</v>
      </c>
      <c r="J60" s="9" t="s">
        <v>136</v>
      </c>
      <c r="K60" s="8">
        <v>45307</v>
      </c>
      <c r="L60" s="21">
        <v>863.5</v>
      </c>
      <c r="M60" s="8">
        <v>45336</v>
      </c>
      <c r="N60" s="21">
        <v>863.5</v>
      </c>
      <c r="O60" s="8">
        <v>45351</v>
      </c>
      <c r="P60" s="21">
        <v>863.5</v>
      </c>
      <c r="Q60" s="8">
        <v>45366</v>
      </c>
      <c r="R60" s="28">
        <v>863.5</v>
      </c>
    </row>
    <row r="61" spans="1:18">
      <c r="A61" s="1" t="s">
        <v>198</v>
      </c>
      <c r="B61" s="6" t="s">
        <v>46</v>
      </c>
      <c r="C61" s="7">
        <v>45277</v>
      </c>
      <c r="D61" s="25">
        <f t="shared" si="0"/>
        <v>12</v>
      </c>
      <c r="E61" s="25">
        <f t="shared" si="1"/>
        <v>2023</v>
      </c>
      <c r="F61" s="7" t="s">
        <v>95</v>
      </c>
      <c r="G61" s="4" t="s">
        <v>112</v>
      </c>
      <c r="H61" s="4" t="s">
        <v>122</v>
      </c>
      <c r="I61" s="9">
        <v>1846</v>
      </c>
      <c r="J61" s="9" t="s">
        <v>126</v>
      </c>
      <c r="K61" s="8">
        <v>45278</v>
      </c>
      <c r="L61" s="21">
        <v>1846</v>
      </c>
      <c r="M61" s="8"/>
      <c r="N61" s="21"/>
      <c r="O61" s="8"/>
      <c r="P61" s="21"/>
      <c r="Q61" s="8"/>
      <c r="R61" s="28"/>
    </row>
    <row r="62" spans="1:18">
      <c r="A62" s="1" t="s">
        <v>199</v>
      </c>
      <c r="B62" s="6" t="s">
        <v>30</v>
      </c>
      <c r="C62" s="7">
        <v>45203</v>
      </c>
      <c r="D62" s="25">
        <f t="shared" si="0"/>
        <v>10</v>
      </c>
      <c r="E62" s="25">
        <f t="shared" si="1"/>
        <v>2023</v>
      </c>
      <c r="F62" s="7" t="s">
        <v>79</v>
      </c>
      <c r="G62" s="4" t="s">
        <v>111</v>
      </c>
      <c r="H62" s="4" t="s">
        <v>118</v>
      </c>
      <c r="I62" s="9">
        <v>4464</v>
      </c>
      <c r="J62" s="9" t="s">
        <v>126</v>
      </c>
      <c r="K62" s="8">
        <v>45204</v>
      </c>
      <c r="L62" s="21">
        <v>4464</v>
      </c>
      <c r="M62" s="8"/>
      <c r="N62" s="21"/>
      <c r="O62" s="8"/>
      <c r="P62" s="21"/>
      <c r="Q62" s="8"/>
      <c r="R62" s="28"/>
    </row>
    <row r="63" spans="1:18">
      <c r="A63" s="1" t="s">
        <v>200</v>
      </c>
      <c r="B63" s="6" t="s">
        <v>38</v>
      </c>
      <c r="C63" s="7">
        <v>45238</v>
      </c>
      <c r="D63" s="25">
        <f t="shared" si="0"/>
        <v>11</v>
      </c>
      <c r="E63" s="25">
        <f t="shared" si="1"/>
        <v>2023</v>
      </c>
      <c r="F63" s="7" t="s">
        <v>87</v>
      </c>
      <c r="G63" s="4" t="s">
        <v>110</v>
      </c>
      <c r="H63" s="4" t="s">
        <v>125</v>
      </c>
      <c r="I63" s="9">
        <v>-4026</v>
      </c>
      <c r="J63" s="9" t="s">
        <v>137</v>
      </c>
      <c r="K63" s="8">
        <v>45239</v>
      </c>
      <c r="L63" s="21">
        <v>-1342</v>
      </c>
      <c r="M63" s="8">
        <v>45268</v>
      </c>
      <c r="N63" s="21">
        <v>-1342</v>
      </c>
      <c r="O63" s="8">
        <v>45283</v>
      </c>
      <c r="P63" s="21">
        <v>-1342</v>
      </c>
      <c r="Q63" s="8"/>
      <c r="R63" s="28"/>
    </row>
    <row r="64" spans="1:18">
      <c r="A64" s="1" t="s">
        <v>201</v>
      </c>
      <c r="B64" s="6" t="s">
        <v>52</v>
      </c>
      <c r="C64" s="7">
        <v>45143</v>
      </c>
      <c r="D64" s="25">
        <f t="shared" si="0"/>
        <v>8</v>
      </c>
      <c r="E64" s="25">
        <f t="shared" si="1"/>
        <v>2023</v>
      </c>
      <c r="F64" s="7" t="s">
        <v>101</v>
      </c>
      <c r="G64" s="4" t="s">
        <v>111</v>
      </c>
      <c r="H64" s="4" t="s">
        <v>118</v>
      </c>
      <c r="I64" s="9">
        <v>7675</v>
      </c>
      <c r="J64" s="9" t="s">
        <v>137</v>
      </c>
      <c r="K64" s="8">
        <v>45144</v>
      </c>
      <c r="L64" s="21">
        <v>2558.3333333333335</v>
      </c>
      <c r="M64" s="8">
        <v>45173</v>
      </c>
      <c r="N64" s="21">
        <v>2558.3333333333335</v>
      </c>
      <c r="O64" s="8">
        <v>45188</v>
      </c>
      <c r="P64" s="21">
        <v>2558.3333333333335</v>
      </c>
      <c r="Q64" s="8"/>
      <c r="R64" s="28"/>
    </row>
    <row r="65" spans="1:18">
      <c r="A65" s="1" t="s">
        <v>202</v>
      </c>
      <c r="B65" s="6" t="s">
        <v>41</v>
      </c>
      <c r="C65" s="7">
        <v>45123</v>
      </c>
      <c r="D65" s="25">
        <f t="shared" si="0"/>
        <v>7</v>
      </c>
      <c r="E65" s="25">
        <f t="shared" si="1"/>
        <v>2023</v>
      </c>
      <c r="F65" s="7" t="s">
        <v>90</v>
      </c>
      <c r="G65" s="4" t="s">
        <v>111</v>
      </c>
      <c r="H65" s="4" t="s">
        <v>118</v>
      </c>
      <c r="I65" s="9">
        <v>1083</v>
      </c>
      <c r="J65" s="9" t="s">
        <v>138</v>
      </c>
      <c r="K65" s="8">
        <v>45124</v>
      </c>
      <c r="L65" s="21">
        <v>541.5</v>
      </c>
      <c r="M65" s="8">
        <v>45153</v>
      </c>
      <c r="N65" s="21">
        <v>541.5</v>
      </c>
      <c r="O65" s="8"/>
      <c r="P65" s="21"/>
      <c r="Q65" s="8"/>
      <c r="R65" s="28"/>
    </row>
    <row r="66" spans="1:18">
      <c r="A66" s="1" t="s">
        <v>203</v>
      </c>
      <c r="B66" s="6" t="s">
        <v>43</v>
      </c>
      <c r="C66" s="7">
        <v>45208</v>
      </c>
      <c r="D66" s="25">
        <f t="shared" si="0"/>
        <v>10</v>
      </c>
      <c r="E66" s="25">
        <f t="shared" si="1"/>
        <v>2023</v>
      </c>
      <c r="F66" s="7" t="s">
        <v>92</v>
      </c>
      <c r="G66" s="4" t="s">
        <v>110</v>
      </c>
      <c r="H66" s="4" t="s">
        <v>124</v>
      </c>
      <c r="I66" s="9">
        <v>-937</v>
      </c>
      <c r="J66" s="9" t="s">
        <v>138</v>
      </c>
      <c r="K66" s="8">
        <v>45209</v>
      </c>
      <c r="L66" s="21">
        <v>-468.5</v>
      </c>
      <c r="M66" s="8">
        <v>45238</v>
      </c>
      <c r="N66" s="21">
        <v>-468.5</v>
      </c>
      <c r="O66" s="8"/>
      <c r="P66" s="21"/>
      <c r="Q66" s="8"/>
      <c r="R66" s="28"/>
    </row>
    <row r="67" spans="1:18">
      <c r="A67" s="1" t="s">
        <v>204</v>
      </c>
      <c r="B67" s="6" t="s">
        <v>53</v>
      </c>
      <c r="C67" s="7">
        <v>45385</v>
      </c>
      <c r="D67" s="25">
        <f t="shared" si="0"/>
        <v>4</v>
      </c>
      <c r="E67" s="25">
        <f t="shared" si="1"/>
        <v>2024</v>
      </c>
      <c r="F67" s="7" t="s">
        <v>102</v>
      </c>
      <c r="G67" s="4" t="s">
        <v>111</v>
      </c>
      <c r="H67" s="4" t="s">
        <v>117</v>
      </c>
      <c r="I67" s="9">
        <v>5152</v>
      </c>
      <c r="J67" s="9" t="s">
        <v>138</v>
      </c>
      <c r="K67" s="8">
        <v>45386</v>
      </c>
      <c r="L67" s="21">
        <v>2576</v>
      </c>
      <c r="M67" s="8">
        <v>45415</v>
      </c>
      <c r="N67" s="21">
        <v>2576</v>
      </c>
      <c r="O67" s="8"/>
      <c r="P67" s="21"/>
      <c r="Q67" s="8"/>
      <c r="R67" s="28"/>
    </row>
    <row r="68" spans="1:18">
      <c r="A68" s="1" t="s">
        <v>205</v>
      </c>
      <c r="B68" s="6" t="s">
        <v>51</v>
      </c>
      <c r="C68" s="7">
        <v>45194</v>
      </c>
      <c r="D68" s="25">
        <f t="shared" ref="D68:D131" si="2">MONTH(C68)</f>
        <v>9</v>
      </c>
      <c r="E68" s="25">
        <f t="shared" ref="E68:E131" si="3">YEAR(C68)</f>
        <v>2023</v>
      </c>
      <c r="F68" s="7" t="s">
        <v>100</v>
      </c>
      <c r="G68" s="4" t="s">
        <v>111</v>
      </c>
      <c r="H68" s="4" t="s">
        <v>121</v>
      </c>
      <c r="I68" s="9">
        <v>1653</v>
      </c>
      <c r="J68" s="9" t="s">
        <v>136</v>
      </c>
      <c r="K68" s="8">
        <v>45195</v>
      </c>
      <c r="L68" s="21">
        <v>413.25</v>
      </c>
      <c r="M68" s="8">
        <v>45224</v>
      </c>
      <c r="N68" s="21">
        <v>413.25</v>
      </c>
      <c r="O68" s="8">
        <v>45239</v>
      </c>
      <c r="P68" s="21">
        <v>413.25</v>
      </c>
      <c r="Q68" s="8">
        <v>45254</v>
      </c>
      <c r="R68" s="28">
        <v>413.25</v>
      </c>
    </row>
    <row r="69" spans="1:18">
      <c r="A69" s="1" t="s">
        <v>206</v>
      </c>
      <c r="B69" s="6" t="s">
        <v>44</v>
      </c>
      <c r="C69" s="7">
        <v>45501</v>
      </c>
      <c r="D69" s="25">
        <f t="shared" si="2"/>
        <v>7</v>
      </c>
      <c r="E69" s="25">
        <f t="shared" si="3"/>
        <v>2024</v>
      </c>
      <c r="F69" s="7" t="s">
        <v>93</v>
      </c>
      <c r="G69" s="4" t="s">
        <v>111</v>
      </c>
      <c r="H69" s="4" t="s">
        <v>119</v>
      </c>
      <c r="I69" s="9">
        <v>1492</v>
      </c>
      <c r="J69" s="9" t="s">
        <v>136</v>
      </c>
      <c r="K69" s="8">
        <v>45502</v>
      </c>
      <c r="L69" s="21">
        <v>373</v>
      </c>
      <c r="M69" s="8">
        <v>45531</v>
      </c>
      <c r="N69" s="21">
        <v>373</v>
      </c>
      <c r="O69" s="8">
        <v>45546</v>
      </c>
      <c r="P69" s="21">
        <v>373</v>
      </c>
      <c r="Q69" s="8">
        <v>45561</v>
      </c>
      <c r="R69" s="28">
        <v>373</v>
      </c>
    </row>
    <row r="70" spans="1:18">
      <c r="A70" s="1" t="s">
        <v>207</v>
      </c>
      <c r="B70" s="6" t="s">
        <v>32</v>
      </c>
      <c r="C70" s="7">
        <v>45053</v>
      </c>
      <c r="D70" s="25">
        <f t="shared" si="2"/>
        <v>5</v>
      </c>
      <c r="E70" s="25">
        <f t="shared" si="3"/>
        <v>2023</v>
      </c>
      <c r="F70" s="7" t="s">
        <v>81</v>
      </c>
      <c r="G70" s="4" t="s">
        <v>110</v>
      </c>
      <c r="H70" s="4" t="s">
        <v>124</v>
      </c>
      <c r="I70" s="9">
        <v>-1271</v>
      </c>
      <c r="J70" s="9" t="s">
        <v>136</v>
      </c>
      <c r="K70" s="8">
        <v>45054</v>
      </c>
      <c r="L70" s="21">
        <v>-317.75</v>
      </c>
      <c r="M70" s="8">
        <v>45083</v>
      </c>
      <c r="N70" s="21">
        <v>-317.75</v>
      </c>
      <c r="O70" s="8">
        <v>45098</v>
      </c>
      <c r="P70" s="21">
        <v>-317.75</v>
      </c>
      <c r="Q70" s="8">
        <v>45113</v>
      </c>
      <c r="R70" s="28">
        <v>-317.75</v>
      </c>
    </row>
    <row r="71" spans="1:18">
      <c r="A71" s="1" t="s">
        <v>208</v>
      </c>
      <c r="B71" s="6" t="s">
        <v>60</v>
      </c>
      <c r="C71" s="7">
        <v>45547</v>
      </c>
      <c r="D71" s="25">
        <f t="shared" si="2"/>
        <v>9</v>
      </c>
      <c r="E71" s="25">
        <f t="shared" si="3"/>
        <v>2024</v>
      </c>
      <c r="F71" s="7" t="s">
        <v>109</v>
      </c>
      <c r="G71" s="4" t="s">
        <v>111</v>
      </c>
      <c r="H71" s="4" t="s">
        <v>118</v>
      </c>
      <c r="I71" s="9">
        <v>4805</v>
      </c>
      <c r="J71" s="9" t="s">
        <v>137</v>
      </c>
      <c r="K71" s="8">
        <v>45548</v>
      </c>
      <c r="L71" s="21">
        <v>1601.6666666666667</v>
      </c>
      <c r="M71" s="8">
        <v>45577</v>
      </c>
      <c r="N71" s="21">
        <v>1601.6666666666667</v>
      </c>
      <c r="O71" s="8">
        <v>45592</v>
      </c>
      <c r="P71" s="21">
        <v>1601.6666666666667</v>
      </c>
      <c r="Q71" s="8"/>
      <c r="R71" s="28"/>
    </row>
    <row r="72" spans="1:18">
      <c r="A72" s="1" t="s">
        <v>209</v>
      </c>
      <c r="B72" s="6" t="s">
        <v>57</v>
      </c>
      <c r="C72" s="7">
        <v>45224</v>
      </c>
      <c r="D72" s="25">
        <f t="shared" si="2"/>
        <v>10</v>
      </c>
      <c r="E72" s="25">
        <f t="shared" si="3"/>
        <v>2023</v>
      </c>
      <c r="F72" s="7" t="s">
        <v>106</v>
      </c>
      <c r="G72" s="4" t="s">
        <v>112</v>
      </c>
      <c r="H72" s="4" t="s">
        <v>122</v>
      </c>
      <c r="I72" s="9">
        <v>7493</v>
      </c>
      <c r="J72" s="9" t="s">
        <v>126</v>
      </c>
      <c r="K72" s="8">
        <v>45225</v>
      </c>
      <c r="L72" s="21">
        <v>7493</v>
      </c>
      <c r="M72" s="8"/>
      <c r="N72" s="21"/>
      <c r="O72" s="8"/>
      <c r="P72" s="21"/>
      <c r="Q72" s="8"/>
      <c r="R72" s="28"/>
    </row>
    <row r="73" spans="1:18">
      <c r="A73" s="1" t="s">
        <v>210</v>
      </c>
      <c r="B73" s="6" t="s">
        <v>22</v>
      </c>
      <c r="C73" s="7">
        <v>45325</v>
      </c>
      <c r="D73" s="25">
        <f t="shared" si="2"/>
        <v>2</v>
      </c>
      <c r="E73" s="25">
        <f t="shared" si="3"/>
        <v>2024</v>
      </c>
      <c r="F73" s="7" t="s">
        <v>71</v>
      </c>
      <c r="G73" s="4" t="s">
        <v>111</v>
      </c>
      <c r="H73" s="4" t="s">
        <v>119</v>
      </c>
      <c r="I73" s="9">
        <v>7961</v>
      </c>
      <c r="J73" s="9" t="s">
        <v>136</v>
      </c>
      <c r="K73" s="8">
        <v>45326</v>
      </c>
      <c r="L73" s="21">
        <v>1990.25</v>
      </c>
      <c r="M73" s="8">
        <v>45355</v>
      </c>
      <c r="N73" s="21">
        <v>1990.25</v>
      </c>
      <c r="O73" s="8">
        <v>45370</v>
      </c>
      <c r="P73" s="21">
        <v>1990.25</v>
      </c>
      <c r="Q73" s="8">
        <v>45385</v>
      </c>
      <c r="R73" s="28">
        <v>1990.25</v>
      </c>
    </row>
    <row r="74" spans="1:18">
      <c r="A74" s="1" t="s">
        <v>211</v>
      </c>
      <c r="B74" s="6" t="s">
        <v>28</v>
      </c>
      <c r="C74" s="7">
        <v>45202</v>
      </c>
      <c r="D74" s="25">
        <f t="shared" si="2"/>
        <v>10</v>
      </c>
      <c r="E74" s="25">
        <f t="shared" si="3"/>
        <v>2023</v>
      </c>
      <c r="F74" s="7" t="s">
        <v>77</v>
      </c>
      <c r="G74" s="4" t="s">
        <v>110</v>
      </c>
      <c r="H74" s="4" t="s">
        <v>114</v>
      </c>
      <c r="I74" s="9">
        <v>-7983</v>
      </c>
      <c r="J74" s="9" t="s">
        <v>136</v>
      </c>
      <c r="K74" s="8">
        <v>45203</v>
      </c>
      <c r="L74" s="21">
        <v>-1995.75</v>
      </c>
      <c r="M74" s="8">
        <v>45232</v>
      </c>
      <c r="N74" s="21">
        <v>-1995.75</v>
      </c>
      <c r="O74" s="8">
        <v>45247</v>
      </c>
      <c r="P74" s="21">
        <v>-1995.75</v>
      </c>
      <c r="Q74" s="8">
        <v>45262</v>
      </c>
      <c r="R74" s="28">
        <v>-1995.75</v>
      </c>
    </row>
    <row r="75" spans="1:18">
      <c r="A75" s="1" t="s">
        <v>212</v>
      </c>
      <c r="B75" s="6" t="s">
        <v>36</v>
      </c>
      <c r="C75" s="7">
        <v>45294</v>
      </c>
      <c r="D75" s="25">
        <f t="shared" si="2"/>
        <v>1</v>
      </c>
      <c r="E75" s="25">
        <f t="shared" si="3"/>
        <v>2024</v>
      </c>
      <c r="F75" s="7" t="s">
        <v>85</v>
      </c>
      <c r="G75" s="4" t="s">
        <v>111</v>
      </c>
      <c r="H75" s="4" t="s">
        <v>120</v>
      </c>
      <c r="I75" s="9">
        <v>1465</v>
      </c>
      <c r="J75" s="9" t="s">
        <v>126</v>
      </c>
      <c r="K75" s="8">
        <v>45295</v>
      </c>
      <c r="L75" s="21">
        <v>1465</v>
      </c>
      <c r="M75" s="8"/>
      <c r="N75" s="21"/>
      <c r="O75" s="8"/>
      <c r="P75" s="21"/>
      <c r="Q75" s="8"/>
      <c r="R75" s="28"/>
    </row>
    <row r="76" spans="1:18">
      <c r="A76" s="1" t="s">
        <v>213</v>
      </c>
      <c r="B76" s="6" t="s">
        <v>54</v>
      </c>
      <c r="C76" s="7">
        <v>45415</v>
      </c>
      <c r="D76" s="25">
        <f t="shared" si="2"/>
        <v>5</v>
      </c>
      <c r="E76" s="25">
        <f t="shared" si="3"/>
        <v>2024</v>
      </c>
      <c r="F76" s="7" t="s">
        <v>103</v>
      </c>
      <c r="G76" s="4" t="s">
        <v>110</v>
      </c>
      <c r="H76" s="4" t="s">
        <v>124</v>
      </c>
      <c r="I76" s="9">
        <v>-8254</v>
      </c>
      <c r="J76" s="9" t="s">
        <v>136</v>
      </c>
      <c r="K76" s="8">
        <v>45416</v>
      </c>
      <c r="L76" s="21">
        <v>-2063.5</v>
      </c>
      <c r="M76" s="8">
        <v>45445</v>
      </c>
      <c r="N76" s="21">
        <v>-2063.5</v>
      </c>
      <c r="O76" s="8">
        <v>45460</v>
      </c>
      <c r="P76" s="21">
        <v>-2063.5</v>
      </c>
      <c r="Q76" s="8">
        <v>45475</v>
      </c>
      <c r="R76" s="28">
        <v>-2063.5</v>
      </c>
    </row>
    <row r="77" spans="1:18">
      <c r="A77" s="1" t="s">
        <v>214</v>
      </c>
      <c r="B77" s="6" t="s">
        <v>53</v>
      </c>
      <c r="C77" s="7">
        <v>45272</v>
      </c>
      <c r="D77" s="25">
        <f t="shared" si="2"/>
        <v>12</v>
      </c>
      <c r="E77" s="25">
        <f t="shared" si="3"/>
        <v>2023</v>
      </c>
      <c r="F77" s="7" t="s">
        <v>102</v>
      </c>
      <c r="G77" s="4" t="s">
        <v>111</v>
      </c>
      <c r="H77" s="4" t="s">
        <v>117</v>
      </c>
      <c r="I77" s="9">
        <v>1081</v>
      </c>
      <c r="J77" s="9" t="s">
        <v>137</v>
      </c>
      <c r="K77" s="8">
        <v>45273</v>
      </c>
      <c r="L77" s="21">
        <v>360.33333333333331</v>
      </c>
      <c r="M77" s="8">
        <v>45302</v>
      </c>
      <c r="N77" s="21">
        <v>360.33333333333331</v>
      </c>
      <c r="O77" s="8">
        <v>45317</v>
      </c>
      <c r="P77" s="21">
        <v>360.33333333333331</v>
      </c>
      <c r="Q77" s="8"/>
      <c r="R77" s="28"/>
    </row>
    <row r="78" spans="1:18">
      <c r="A78" s="1" t="s">
        <v>215</v>
      </c>
      <c r="B78" s="6" t="s">
        <v>38</v>
      </c>
      <c r="C78" s="7">
        <v>45199</v>
      </c>
      <c r="D78" s="25">
        <f t="shared" si="2"/>
        <v>9</v>
      </c>
      <c r="E78" s="25">
        <f t="shared" si="3"/>
        <v>2023</v>
      </c>
      <c r="F78" s="7" t="s">
        <v>87</v>
      </c>
      <c r="G78" s="4" t="s">
        <v>110</v>
      </c>
      <c r="H78" s="4" t="s">
        <v>125</v>
      </c>
      <c r="I78" s="9">
        <v>-458</v>
      </c>
      <c r="J78" s="9" t="s">
        <v>138</v>
      </c>
      <c r="K78" s="8">
        <v>45200</v>
      </c>
      <c r="L78" s="21">
        <v>-229</v>
      </c>
      <c r="M78" s="8">
        <v>45229</v>
      </c>
      <c r="N78" s="21">
        <v>-229</v>
      </c>
      <c r="O78" s="8"/>
      <c r="P78" s="21"/>
      <c r="Q78" s="8"/>
      <c r="R78" s="28"/>
    </row>
    <row r="79" spans="1:18">
      <c r="A79" s="1" t="s">
        <v>216</v>
      </c>
      <c r="B79" s="6" t="s">
        <v>26</v>
      </c>
      <c r="C79" s="7">
        <v>45167</v>
      </c>
      <c r="D79" s="25">
        <f t="shared" si="2"/>
        <v>8</v>
      </c>
      <c r="E79" s="25">
        <f t="shared" si="3"/>
        <v>2023</v>
      </c>
      <c r="F79" s="7" t="s">
        <v>75</v>
      </c>
      <c r="G79" s="4" t="s">
        <v>112</v>
      </c>
      <c r="H79" s="4" t="s">
        <v>123</v>
      </c>
      <c r="I79" s="9">
        <v>1482</v>
      </c>
      <c r="J79" s="9" t="s">
        <v>126</v>
      </c>
      <c r="K79" s="8">
        <v>45168</v>
      </c>
      <c r="L79" s="21">
        <v>1482</v>
      </c>
      <c r="M79" s="8"/>
      <c r="N79" s="21"/>
      <c r="O79" s="8"/>
      <c r="P79" s="21"/>
      <c r="Q79" s="8"/>
      <c r="R79" s="28"/>
    </row>
    <row r="80" spans="1:18">
      <c r="A80" s="1" t="s">
        <v>217</v>
      </c>
      <c r="B80" s="6" t="s">
        <v>57</v>
      </c>
      <c r="C80" s="7">
        <v>45498</v>
      </c>
      <c r="D80" s="25">
        <f t="shared" si="2"/>
        <v>7</v>
      </c>
      <c r="E80" s="25">
        <f t="shared" si="3"/>
        <v>2024</v>
      </c>
      <c r="F80" s="7" t="s">
        <v>106</v>
      </c>
      <c r="G80" s="4" t="s">
        <v>112</v>
      </c>
      <c r="H80" s="4" t="s">
        <v>122</v>
      </c>
      <c r="I80" s="9">
        <v>2313</v>
      </c>
      <c r="J80" s="9" t="s">
        <v>126</v>
      </c>
      <c r="K80" s="8">
        <v>45499</v>
      </c>
      <c r="L80" s="21">
        <v>2313</v>
      </c>
      <c r="M80" s="8"/>
      <c r="N80" s="21"/>
      <c r="O80" s="8"/>
      <c r="P80" s="21"/>
      <c r="Q80" s="8"/>
      <c r="R80" s="28"/>
    </row>
    <row r="81" spans="1:18">
      <c r="A81" s="1" t="s">
        <v>218</v>
      </c>
      <c r="B81" s="6" t="s">
        <v>48</v>
      </c>
      <c r="C81" s="7">
        <v>45262</v>
      </c>
      <c r="D81" s="25">
        <f t="shared" si="2"/>
        <v>12</v>
      </c>
      <c r="E81" s="25">
        <f t="shared" si="3"/>
        <v>2023</v>
      </c>
      <c r="F81" s="7" t="s">
        <v>97</v>
      </c>
      <c r="G81" s="4" t="s">
        <v>112</v>
      </c>
      <c r="H81" s="4" t="s">
        <v>123</v>
      </c>
      <c r="I81" s="9">
        <v>997</v>
      </c>
      <c r="J81" s="9" t="s">
        <v>126</v>
      </c>
      <c r="K81" s="8">
        <v>45263</v>
      </c>
      <c r="L81" s="21">
        <v>997</v>
      </c>
      <c r="M81" s="8"/>
      <c r="N81" s="21"/>
      <c r="O81" s="8"/>
      <c r="P81" s="21"/>
      <c r="Q81" s="8"/>
      <c r="R81" s="28"/>
    </row>
    <row r="82" spans="1:18">
      <c r="A82" s="1" t="s">
        <v>219</v>
      </c>
      <c r="B82" s="6" t="s">
        <v>37</v>
      </c>
      <c r="C82" s="7">
        <v>45461</v>
      </c>
      <c r="D82" s="25">
        <f t="shared" si="2"/>
        <v>6</v>
      </c>
      <c r="E82" s="25">
        <f t="shared" si="3"/>
        <v>2024</v>
      </c>
      <c r="F82" s="7" t="s">
        <v>86</v>
      </c>
      <c r="G82" s="4" t="s">
        <v>112</v>
      </c>
      <c r="H82" s="4" t="s">
        <v>123</v>
      </c>
      <c r="I82" s="9">
        <v>6409</v>
      </c>
      <c r="J82" s="9" t="s">
        <v>126</v>
      </c>
      <c r="K82" s="8">
        <v>45462</v>
      </c>
      <c r="L82" s="21">
        <v>6409</v>
      </c>
      <c r="M82" s="8"/>
      <c r="N82" s="21"/>
      <c r="O82" s="8"/>
      <c r="P82" s="21"/>
      <c r="Q82" s="8"/>
      <c r="R82" s="28"/>
    </row>
    <row r="83" spans="1:18">
      <c r="A83" s="1" t="s">
        <v>220</v>
      </c>
      <c r="B83" s="6" t="s">
        <v>24</v>
      </c>
      <c r="C83" s="7">
        <v>45187</v>
      </c>
      <c r="D83" s="25">
        <f t="shared" si="2"/>
        <v>9</v>
      </c>
      <c r="E83" s="25">
        <f t="shared" si="3"/>
        <v>2023</v>
      </c>
      <c r="F83" s="7" t="s">
        <v>73</v>
      </c>
      <c r="G83" s="4" t="s">
        <v>112</v>
      </c>
      <c r="H83" s="4" t="s">
        <v>122</v>
      </c>
      <c r="I83" s="9">
        <v>9435</v>
      </c>
      <c r="J83" s="9" t="s">
        <v>126</v>
      </c>
      <c r="K83" s="8">
        <v>45188</v>
      </c>
      <c r="L83" s="21">
        <v>9435</v>
      </c>
      <c r="M83" s="8"/>
      <c r="N83" s="21"/>
      <c r="O83" s="8"/>
      <c r="P83" s="21"/>
      <c r="Q83" s="8"/>
      <c r="R83" s="28"/>
    </row>
    <row r="84" spans="1:18">
      <c r="A84" s="1" t="s">
        <v>221</v>
      </c>
      <c r="B84" s="6" t="s">
        <v>14</v>
      </c>
      <c r="C84" s="7">
        <v>45172</v>
      </c>
      <c r="D84" s="25">
        <f t="shared" si="2"/>
        <v>9</v>
      </c>
      <c r="E84" s="25">
        <f t="shared" si="3"/>
        <v>2023</v>
      </c>
      <c r="F84" s="7" t="s">
        <v>61</v>
      </c>
      <c r="G84" s="4" t="s">
        <v>110</v>
      </c>
      <c r="H84" s="4" t="s">
        <v>113</v>
      </c>
      <c r="I84" s="9">
        <v>-9657</v>
      </c>
      <c r="J84" s="9" t="s">
        <v>137</v>
      </c>
      <c r="K84" s="8">
        <v>45173</v>
      </c>
      <c r="L84" s="21">
        <v>-3219</v>
      </c>
      <c r="M84" s="8">
        <v>45202</v>
      </c>
      <c r="N84" s="21">
        <v>-3219</v>
      </c>
      <c r="O84" s="8">
        <v>45217</v>
      </c>
      <c r="P84" s="21">
        <v>-3219</v>
      </c>
      <c r="Q84" s="8"/>
      <c r="R84" s="28"/>
    </row>
    <row r="85" spans="1:18">
      <c r="A85" s="1" t="s">
        <v>222</v>
      </c>
      <c r="B85" s="6" t="s">
        <v>56</v>
      </c>
      <c r="C85" s="7">
        <v>45443</v>
      </c>
      <c r="D85" s="25">
        <f t="shared" si="2"/>
        <v>5</v>
      </c>
      <c r="E85" s="25">
        <f t="shared" si="3"/>
        <v>2024</v>
      </c>
      <c r="F85" s="7" t="s">
        <v>105</v>
      </c>
      <c r="G85" s="4" t="s">
        <v>110</v>
      </c>
      <c r="H85" s="4" t="s">
        <v>113</v>
      </c>
      <c r="I85" s="9">
        <v>-2139</v>
      </c>
      <c r="J85" s="9" t="s">
        <v>138</v>
      </c>
      <c r="K85" s="8">
        <v>45444</v>
      </c>
      <c r="L85" s="21">
        <v>-1069.5</v>
      </c>
      <c r="M85" s="8">
        <v>45473</v>
      </c>
      <c r="N85" s="21">
        <v>-1069.5</v>
      </c>
      <c r="O85" s="8"/>
      <c r="P85" s="21"/>
      <c r="Q85" s="8"/>
      <c r="R85" s="28"/>
    </row>
    <row r="86" spans="1:18">
      <c r="A86" s="1" t="s">
        <v>223</v>
      </c>
      <c r="B86" s="6" t="s">
        <v>13</v>
      </c>
      <c r="C86" s="7">
        <v>45253</v>
      </c>
      <c r="D86" s="25">
        <f t="shared" si="2"/>
        <v>11</v>
      </c>
      <c r="E86" s="25">
        <f t="shared" si="3"/>
        <v>2023</v>
      </c>
      <c r="F86" s="7" t="s">
        <v>63</v>
      </c>
      <c r="G86" s="4" t="s">
        <v>111</v>
      </c>
      <c r="H86" s="4" t="s">
        <v>120</v>
      </c>
      <c r="I86" s="9">
        <v>5262</v>
      </c>
      <c r="J86" s="9" t="s">
        <v>126</v>
      </c>
      <c r="K86" s="8">
        <v>45254</v>
      </c>
      <c r="L86" s="21">
        <v>5262</v>
      </c>
      <c r="M86" s="8"/>
      <c r="N86" s="21"/>
      <c r="O86" s="8"/>
      <c r="P86" s="21"/>
      <c r="Q86" s="8"/>
      <c r="R86" s="28"/>
    </row>
    <row r="87" spans="1:18">
      <c r="A87" s="1" t="s">
        <v>224</v>
      </c>
      <c r="B87" s="6" t="s">
        <v>18</v>
      </c>
      <c r="C87" s="7">
        <v>45273</v>
      </c>
      <c r="D87" s="25">
        <f t="shared" si="2"/>
        <v>12</v>
      </c>
      <c r="E87" s="25">
        <f t="shared" si="3"/>
        <v>2023</v>
      </c>
      <c r="F87" s="7" t="s">
        <v>67</v>
      </c>
      <c r="G87" s="4" t="s">
        <v>111</v>
      </c>
      <c r="H87" s="4" t="s">
        <v>121</v>
      </c>
      <c r="I87" s="9">
        <v>7294</v>
      </c>
      <c r="J87" s="9" t="s">
        <v>138</v>
      </c>
      <c r="K87" s="8">
        <v>45274</v>
      </c>
      <c r="L87" s="21">
        <v>3647</v>
      </c>
      <c r="M87" s="8">
        <v>45303</v>
      </c>
      <c r="N87" s="21">
        <v>3647</v>
      </c>
      <c r="O87" s="8"/>
      <c r="P87" s="21"/>
      <c r="Q87" s="8"/>
      <c r="R87" s="28"/>
    </row>
    <row r="88" spans="1:18">
      <c r="A88" s="1" t="s">
        <v>225</v>
      </c>
      <c r="B88" s="6" t="s">
        <v>43</v>
      </c>
      <c r="C88" s="7">
        <v>45442</v>
      </c>
      <c r="D88" s="25">
        <f t="shared" si="2"/>
        <v>5</v>
      </c>
      <c r="E88" s="25">
        <f t="shared" si="3"/>
        <v>2024</v>
      </c>
      <c r="F88" s="7" t="s">
        <v>92</v>
      </c>
      <c r="G88" s="4" t="s">
        <v>110</v>
      </c>
      <c r="H88" s="4" t="s">
        <v>124</v>
      </c>
      <c r="I88" s="9">
        <v>-8906</v>
      </c>
      <c r="J88" s="9" t="s">
        <v>138</v>
      </c>
      <c r="K88" s="8">
        <v>45443</v>
      </c>
      <c r="L88" s="21">
        <v>-4453</v>
      </c>
      <c r="M88" s="8">
        <v>45472</v>
      </c>
      <c r="N88" s="21">
        <v>-4453</v>
      </c>
      <c r="O88" s="8"/>
      <c r="P88" s="21"/>
      <c r="Q88" s="8"/>
      <c r="R88" s="28"/>
    </row>
    <row r="89" spans="1:18">
      <c r="A89" s="1" t="s">
        <v>226</v>
      </c>
      <c r="B89" s="6" t="s">
        <v>39</v>
      </c>
      <c r="C89" s="7">
        <v>45397</v>
      </c>
      <c r="D89" s="25">
        <f t="shared" si="2"/>
        <v>4</v>
      </c>
      <c r="E89" s="25">
        <f t="shared" si="3"/>
        <v>2024</v>
      </c>
      <c r="F89" s="7" t="s">
        <v>88</v>
      </c>
      <c r="G89" s="4" t="s">
        <v>110</v>
      </c>
      <c r="H89" s="4" t="s">
        <v>114</v>
      </c>
      <c r="I89" s="9">
        <v>-3965</v>
      </c>
      <c r="J89" s="9" t="s">
        <v>136</v>
      </c>
      <c r="K89" s="8">
        <v>45398</v>
      </c>
      <c r="L89" s="21">
        <v>-991.25</v>
      </c>
      <c r="M89" s="8">
        <v>45427</v>
      </c>
      <c r="N89" s="21">
        <v>-991.25</v>
      </c>
      <c r="O89" s="8">
        <v>45442</v>
      </c>
      <c r="P89" s="21">
        <v>-991.25</v>
      </c>
      <c r="Q89" s="8">
        <v>45457</v>
      </c>
      <c r="R89" s="28">
        <v>-991.25</v>
      </c>
    </row>
    <row r="90" spans="1:18">
      <c r="A90" s="1" t="s">
        <v>227</v>
      </c>
      <c r="B90" s="6" t="s">
        <v>57</v>
      </c>
      <c r="C90" s="7">
        <v>45309</v>
      </c>
      <c r="D90" s="25">
        <f t="shared" si="2"/>
        <v>1</v>
      </c>
      <c r="E90" s="25">
        <f t="shared" si="3"/>
        <v>2024</v>
      </c>
      <c r="F90" s="7" t="s">
        <v>106</v>
      </c>
      <c r="G90" s="4" t="s">
        <v>112</v>
      </c>
      <c r="H90" s="4" t="s">
        <v>122</v>
      </c>
      <c r="I90" s="9">
        <v>7082</v>
      </c>
      <c r="J90" s="9" t="s">
        <v>126</v>
      </c>
      <c r="K90" s="8">
        <v>45310</v>
      </c>
      <c r="L90" s="21">
        <v>7082</v>
      </c>
      <c r="M90" s="8"/>
      <c r="N90" s="21"/>
      <c r="O90" s="8"/>
      <c r="P90" s="21"/>
      <c r="Q90" s="8"/>
      <c r="R90" s="28"/>
    </row>
    <row r="91" spans="1:18">
      <c r="A91" s="1" t="s">
        <v>228</v>
      </c>
      <c r="B91" s="6" t="s">
        <v>57</v>
      </c>
      <c r="C91" s="7">
        <v>45391</v>
      </c>
      <c r="D91" s="25">
        <f t="shared" si="2"/>
        <v>4</v>
      </c>
      <c r="E91" s="25">
        <f t="shared" si="3"/>
        <v>2024</v>
      </c>
      <c r="F91" s="7" t="s">
        <v>106</v>
      </c>
      <c r="G91" s="4" t="s">
        <v>112</v>
      </c>
      <c r="H91" s="4" t="s">
        <v>122</v>
      </c>
      <c r="I91" s="9">
        <v>2490</v>
      </c>
      <c r="J91" s="9" t="s">
        <v>126</v>
      </c>
      <c r="K91" s="8">
        <v>45392</v>
      </c>
      <c r="L91" s="21">
        <v>2490</v>
      </c>
      <c r="M91" s="8"/>
      <c r="N91" s="21"/>
      <c r="O91" s="8"/>
      <c r="P91" s="21"/>
      <c r="Q91" s="8"/>
      <c r="R91" s="28"/>
    </row>
    <row r="92" spans="1:18">
      <c r="A92" s="1" t="s">
        <v>229</v>
      </c>
      <c r="B92" s="6" t="s">
        <v>37</v>
      </c>
      <c r="C92" s="7">
        <v>45435</v>
      </c>
      <c r="D92" s="25">
        <f t="shared" si="2"/>
        <v>5</v>
      </c>
      <c r="E92" s="25">
        <f t="shared" si="3"/>
        <v>2024</v>
      </c>
      <c r="F92" s="7" t="s">
        <v>86</v>
      </c>
      <c r="G92" s="4" t="s">
        <v>112</v>
      </c>
      <c r="H92" s="4" t="s">
        <v>123</v>
      </c>
      <c r="I92" s="9">
        <v>7198</v>
      </c>
      <c r="J92" s="9" t="s">
        <v>126</v>
      </c>
      <c r="K92" s="8">
        <v>45436</v>
      </c>
      <c r="L92" s="21">
        <v>7198</v>
      </c>
      <c r="M92" s="8"/>
      <c r="N92" s="21"/>
      <c r="O92" s="8"/>
      <c r="P92" s="21"/>
      <c r="Q92" s="8"/>
      <c r="R92" s="28"/>
    </row>
    <row r="93" spans="1:18">
      <c r="A93" s="1" t="s">
        <v>230</v>
      </c>
      <c r="B93" s="6" t="s">
        <v>14</v>
      </c>
      <c r="C93" s="7">
        <v>45207</v>
      </c>
      <c r="D93" s="25">
        <f t="shared" si="2"/>
        <v>10</v>
      </c>
      <c r="E93" s="25">
        <f t="shared" si="3"/>
        <v>2023</v>
      </c>
      <c r="F93" s="7" t="s">
        <v>61</v>
      </c>
      <c r="G93" s="4" t="s">
        <v>110</v>
      </c>
      <c r="H93" s="4" t="s">
        <v>113</v>
      </c>
      <c r="I93" s="9">
        <v>-9350</v>
      </c>
      <c r="J93" s="9" t="s">
        <v>136</v>
      </c>
      <c r="K93" s="8">
        <v>45208</v>
      </c>
      <c r="L93" s="21">
        <v>-2337.5</v>
      </c>
      <c r="M93" s="8">
        <v>45237</v>
      </c>
      <c r="N93" s="21">
        <v>-2337.5</v>
      </c>
      <c r="O93" s="8">
        <v>45252</v>
      </c>
      <c r="P93" s="21">
        <v>-2337.5</v>
      </c>
      <c r="Q93" s="8">
        <v>45267</v>
      </c>
      <c r="R93" s="28">
        <v>-2337.5</v>
      </c>
    </row>
    <row r="94" spans="1:18">
      <c r="A94" s="1" t="s">
        <v>231</v>
      </c>
      <c r="B94" s="6" t="s">
        <v>19</v>
      </c>
      <c r="C94" s="7">
        <v>45192</v>
      </c>
      <c r="D94" s="25">
        <f t="shared" si="2"/>
        <v>9</v>
      </c>
      <c r="E94" s="25">
        <f t="shared" si="3"/>
        <v>2023</v>
      </c>
      <c r="F94" s="7" t="s">
        <v>68</v>
      </c>
      <c r="G94" s="4" t="s">
        <v>111</v>
      </c>
      <c r="H94" s="4" t="s">
        <v>118</v>
      </c>
      <c r="I94" s="9">
        <v>7961</v>
      </c>
      <c r="J94" s="9" t="s">
        <v>137</v>
      </c>
      <c r="K94" s="8">
        <v>45193</v>
      </c>
      <c r="L94" s="21">
        <v>2653.6666666666665</v>
      </c>
      <c r="M94" s="8">
        <v>45222</v>
      </c>
      <c r="N94" s="21">
        <v>2653.6666666666665</v>
      </c>
      <c r="O94" s="8">
        <v>45237</v>
      </c>
      <c r="P94" s="21">
        <v>2653.6666666666665</v>
      </c>
      <c r="Q94" s="8"/>
      <c r="R94" s="28"/>
    </row>
    <row r="95" spans="1:18">
      <c r="A95" s="1" t="s">
        <v>232</v>
      </c>
      <c r="B95" s="6" t="s">
        <v>38</v>
      </c>
      <c r="C95" s="7">
        <v>45213</v>
      </c>
      <c r="D95" s="25">
        <f t="shared" si="2"/>
        <v>10</v>
      </c>
      <c r="E95" s="25">
        <f t="shared" si="3"/>
        <v>2023</v>
      </c>
      <c r="F95" s="7" t="s">
        <v>87</v>
      </c>
      <c r="G95" s="4" t="s">
        <v>110</v>
      </c>
      <c r="H95" s="4" t="s">
        <v>125</v>
      </c>
      <c r="I95" s="9">
        <v>-2627</v>
      </c>
      <c r="J95" s="9" t="s">
        <v>126</v>
      </c>
      <c r="K95" s="8">
        <v>45214</v>
      </c>
      <c r="L95" s="21">
        <v>-2627</v>
      </c>
      <c r="M95" s="8"/>
      <c r="N95" s="21"/>
      <c r="O95" s="8"/>
      <c r="P95" s="21"/>
      <c r="Q95" s="8"/>
      <c r="R95" s="28"/>
    </row>
    <row r="96" spans="1:18">
      <c r="A96" s="1" t="s">
        <v>233</v>
      </c>
      <c r="B96" s="6" t="s">
        <v>15</v>
      </c>
      <c r="C96" s="7">
        <v>45153</v>
      </c>
      <c r="D96" s="25">
        <f t="shared" si="2"/>
        <v>8</v>
      </c>
      <c r="E96" s="25">
        <f t="shared" si="3"/>
        <v>2023</v>
      </c>
      <c r="F96" s="7" t="s">
        <v>64</v>
      </c>
      <c r="G96" s="4" t="s">
        <v>112</v>
      </c>
      <c r="H96" s="4" t="s">
        <v>123</v>
      </c>
      <c r="I96" s="9">
        <v>7220</v>
      </c>
      <c r="J96" s="9" t="s">
        <v>126</v>
      </c>
      <c r="K96" s="8">
        <v>45154</v>
      </c>
      <c r="L96" s="21">
        <v>7220</v>
      </c>
      <c r="M96" s="8"/>
      <c r="N96" s="21"/>
      <c r="O96" s="8"/>
      <c r="P96" s="21"/>
      <c r="Q96" s="8"/>
      <c r="R96" s="28"/>
    </row>
    <row r="97" spans="1:18">
      <c r="A97" s="1" t="s">
        <v>234</v>
      </c>
      <c r="B97" s="6" t="s">
        <v>27</v>
      </c>
      <c r="C97" s="7">
        <v>45204</v>
      </c>
      <c r="D97" s="25">
        <f t="shared" si="2"/>
        <v>10</v>
      </c>
      <c r="E97" s="25">
        <f t="shared" si="3"/>
        <v>2023</v>
      </c>
      <c r="F97" s="7" t="s">
        <v>76</v>
      </c>
      <c r="G97" s="4" t="s">
        <v>110</v>
      </c>
      <c r="H97" s="4" t="s">
        <v>125</v>
      </c>
      <c r="I97" s="9">
        <v>-9017</v>
      </c>
      <c r="J97" s="9" t="s">
        <v>138</v>
      </c>
      <c r="K97" s="8">
        <v>45205</v>
      </c>
      <c r="L97" s="21">
        <v>-4508.5</v>
      </c>
      <c r="M97" s="8">
        <v>45234</v>
      </c>
      <c r="N97" s="21">
        <v>-4508.5</v>
      </c>
      <c r="O97" s="8"/>
      <c r="P97" s="21"/>
      <c r="Q97" s="8"/>
      <c r="R97" s="28"/>
    </row>
    <row r="98" spans="1:18">
      <c r="A98" s="1" t="s">
        <v>235</v>
      </c>
      <c r="B98" s="6" t="s">
        <v>34</v>
      </c>
      <c r="C98" s="7">
        <v>45319</v>
      </c>
      <c r="D98" s="25">
        <f t="shared" si="2"/>
        <v>1</v>
      </c>
      <c r="E98" s="25">
        <f t="shared" si="3"/>
        <v>2024</v>
      </c>
      <c r="F98" s="7" t="s">
        <v>83</v>
      </c>
      <c r="G98" s="4" t="s">
        <v>110</v>
      </c>
      <c r="H98" s="4" t="s">
        <v>113</v>
      </c>
      <c r="I98" s="9">
        <v>-1543</v>
      </c>
      <c r="J98" s="9" t="s">
        <v>136</v>
      </c>
      <c r="K98" s="8">
        <v>45320</v>
      </c>
      <c r="L98" s="21">
        <v>-385.75</v>
      </c>
      <c r="M98" s="8">
        <v>45349</v>
      </c>
      <c r="N98" s="21">
        <v>-385.75</v>
      </c>
      <c r="O98" s="8">
        <v>45364</v>
      </c>
      <c r="P98" s="21">
        <v>-385.75</v>
      </c>
      <c r="Q98" s="8">
        <v>45379</v>
      </c>
      <c r="R98" s="28">
        <v>-385.75</v>
      </c>
    </row>
    <row r="99" spans="1:18">
      <c r="A99" s="1" t="s">
        <v>236</v>
      </c>
      <c r="B99" s="6" t="s">
        <v>19</v>
      </c>
      <c r="C99" s="7">
        <v>45115</v>
      </c>
      <c r="D99" s="25">
        <f t="shared" si="2"/>
        <v>7</v>
      </c>
      <c r="E99" s="25">
        <f t="shared" si="3"/>
        <v>2023</v>
      </c>
      <c r="F99" s="7" t="s">
        <v>68</v>
      </c>
      <c r="G99" s="4" t="s">
        <v>111</v>
      </c>
      <c r="H99" s="4" t="s">
        <v>118</v>
      </c>
      <c r="I99" s="9">
        <v>6512</v>
      </c>
      <c r="J99" s="9" t="s">
        <v>126</v>
      </c>
      <c r="K99" s="8">
        <v>45116</v>
      </c>
      <c r="L99" s="21">
        <v>6512</v>
      </c>
      <c r="M99" s="8"/>
      <c r="N99" s="21"/>
      <c r="O99" s="8"/>
      <c r="P99" s="21"/>
      <c r="Q99" s="8"/>
      <c r="R99" s="28"/>
    </row>
    <row r="100" spans="1:18">
      <c r="A100" s="1" t="s">
        <v>237</v>
      </c>
      <c r="B100" s="6" t="s">
        <v>18</v>
      </c>
      <c r="C100" s="7">
        <v>45276</v>
      </c>
      <c r="D100" s="25">
        <f t="shared" si="2"/>
        <v>12</v>
      </c>
      <c r="E100" s="25">
        <f t="shared" si="3"/>
        <v>2023</v>
      </c>
      <c r="F100" s="7" t="s">
        <v>67</v>
      </c>
      <c r="G100" s="4" t="s">
        <v>111</v>
      </c>
      <c r="H100" s="4" t="s">
        <v>121</v>
      </c>
      <c r="I100" s="9">
        <v>6491</v>
      </c>
      <c r="J100" s="9" t="s">
        <v>137</v>
      </c>
      <c r="K100" s="8">
        <v>45277</v>
      </c>
      <c r="L100" s="21">
        <v>2163.6666666666665</v>
      </c>
      <c r="M100" s="8">
        <v>45306</v>
      </c>
      <c r="N100" s="21">
        <v>2163.6666666666665</v>
      </c>
      <c r="O100" s="8">
        <v>45321</v>
      </c>
      <c r="P100" s="21">
        <v>2163.6666666666665</v>
      </c>
      <c r="Q100" s="8"/>
      <c r="R100" s="28"/>
    </row>
    <row r="101" spans="1:18">
      <c r="A101" s="1" t="s">
        <v>238</v>
      </c>
      <c r="B101" s="6" t="s">
        <v>21</v>
      </c>
      <c r="C101" s="7">
        <v>45063</v>
      </c>
      <c r="D101" s="25">
        <f t="shared" si="2"/>
        <v>5</v>
      </c>
      <c r="E101" s="25">
        <f t="shared" si="3"/>
        <v>2023</v>
      </c>
      <c r="F101" s="7" t="s">
        <v>70</v>
      </c>
      <c r="G101" s="4" t="s">
        <v>110</v>
      </c>
      <c r="H101" s="4" t="s">
        <v>124</v>
      </c>
      <c r="I101" s="9">
        <v>-9466</v>
      </c>
      <c r="J101" s="9" t="s">
        <v>137</v>
      </c>
      <c r="K101" s="8">
        <v>45064</v>
      </c>
      <c r="L101" s="21">
        <v>-3155.3333333333335</v>
      </c>
      <c r="M101" s="8">
        <v>45093</v>
      </c>
      <c r="N101" s="21">
        <v>-3155.3333333333335</v>
      </c>
      <c r="O101" s="8">
        <v>45108</v>
      </c>
      <c r="P101" s="21">
        <v>-3155.3333333333335</v>
      </c>
      <c r="Q101" s="8"/>
      <c r="R101" s="28"/>
    </row>
    <row r="102" spans="1:18">
      <c r="A102" s="1" t="s">
        <v>239</v>
      </c>
      <c r="B102" s="6" t="s">
        <v>48</v>
      </c>
      <c r="C102" s="7">
        <v>45429</v>
      </c>
      <c r="D102" s="25">
        <f t="shared" si="2"/>
        <v>5</v>
      </c>
      <c r="E102" s="25">
        <f t="shared" si="3"/>
        <v>2024</v>
      </c>
      <c r="F102" s="7" t="s">
        <v>97</v>
      </c>
      <c r="G102" s="4" t="s">
        <v>112</v>
      </c>
      <c r="H102" s="4" t="s">
        <v>123</v>
      </c>
      <c r="I102" s="9">
        <v>8631</v>
      </c>
      <c r="J102" s="9" t="s">
        <v>126</v>
      </c>
      <c r="K102" s="8">
        <v>45430</v>
      </c>
      <c r="L102" s="21">
        <v>8631</v>
      </c>
      <c r="M102" s="8"/>
      <c r="N102" s="21"/>
      <c r="O102" s="8"/>
      <c r="P102" s="21"/>
      <c r="Q102" s="8"/>
      <c r="R102" s="28"/>
    </row>
    <row r="103" spans="1:18">
      <c r="A103" s="1" t="s">
        <v>240</v>
      </c>
      <c r="B103" s="6" t="s">
        <v>28</v>
      </c>
      <c r="C103" s="7">
        <v>45161</v>
      </c>
      <c r="D103" s="25">
        <f t="shared" si="2"/>
        <v>8</v>
      </c>
      <c r="E103" s="25">
        <f t="shared" si="3"/>
        <v>2023</v>
      </c>
      <c r="F103" s="7" t="s">
        <v>77</v>
      </c>
      <c r="G103" s="4" t="s">
        <v>110</v>
      </c>
      <c r="H103" s="4" t="s">
        <v>114</v>
      </c>
      <c r="I103" s="9">
        <v>-2326</v>
      </c>
      <c r="J103" s="9" t="s">
        <v>138</v>
      </c>
      <c r="K103" s="8">
        <v>45162</v>
      </c>
      <c r="L103" s="21">
        <v>-1163</v>
      </c>
      <c r="M103" s="8">
        <v>45191</v>
      </c>
      <c r="N103" s="21">
        <v>-1163</v>
      </c>
      <c r="O103" s="8"/>
      <c r="P103" s="21"/>
      <c r="Q103" s="8"/>
      <c r="R103" s="28"/>
    </row>
    <row r="104" spans="1:18">
      <c r="A104" s="1" t="s">
        <v>241</v>
      </c>
      <c r="B104" s="6" t="s">
        <v>43</v>
      </c>
      <c r="C104" s="7">
        <v>45427</v>
      </c>
      <c r="D104" s="25">
        <f t="shared" si="2"/>
        <v>5</v>
      </c>
      <c r="E104" s="25">
        <f t="shared" si="3"/>
        <v>2024</v>
      </c>
      <c r="F104" s="7" t="s">
        <v>92</v>
      </c>
      <c r="G104" s="4" t="s">
        <v>110</v>
      </c>
      <c r="H104" s="4" t="s">
        <v>124</v>
      </c>
      <c r="I104" s="9">
        <v>-1400</v>
      </c>
      <c r="J104" s="9" t="s">
        <v>136</v>
      </c>
      <c r="K104" s="8">
        <v>45428</v>
      </c>
      <c r="L104" s="21">
        <v>-350</v>
      </c>
      <c r="M104" s="8">
        <v>45457</v>
      </c>
      <c r="N104" s="21">
        <v>-350</v>
      </c>
      <c r="O104" s="8">
        <v>45472</v>
      </c>
      <c r="P104" s="21">
        <v>-350</v>
      </c>
      <c r="Q104" s="8">
        <v>45487</v>
      </c>
      <c r="R104" s="28">
        <v>-350</v>
      </c>
    </row>
    <row r="105" spans="1:18">
      <c r="A105" s="1" t="s">
        <v>242</v>
      </c>
      <c r="B105" s="6" t="s">
        <v>12</v>
      </c>
      <c r="C105" s="7">
        <v>45477</v>
      </c>
      <c r="D105" s="25">
        <f t="shared" si="2"/>
        <v>7</v>
      </c>
      <c r="E105" s="25">
        <f t="shared" si="3"/>
        <v>2024</v>
      </c>
      <c r="F105" s="7" t="s">
        <v>62</v>
      </c>
      <c r="G105" s="4" t="s">
        <v>112</v>
      </c>
      <c r="H105" s="4" t="s">
        <v>122</v>
      </c>
      <c r="I105" s="9">
        <v>4303</v>
      </c>
      <c r="J105" s="9" t="s">
        <v>126</v>
      </c>
      <c r="K105" s="8">
        <v>45478</v>
      </c>
      <c r="L105" s="21">
        <v>4303</v>
      </c>
      <c r="M105" s="8"/>
      <c r="N105" s="21"/>
      <c r="O105" s="8"/>
      <c r="P105" s="21"/>
      <c r="Q105" s="8"/>
      <c r="R105" s="28"/>
    </row>
    <row r="106" spans="1:18">
      <c r="A106" s="1" t="s">
        <v>243</v>
      </c>
      <c r="B106" s="6" t="s">
        <v>59</v>
      </c>
      <c r="C106" s="7">
        <v>45204</v>
      </c>
      <c r="D106" s="25">
        <f t="shared" si="2"/>
        <v>10</v>
      </c>
      <c r="E106" s="25">
        <f t="shared" si="3"/>
        <v>2023</v>
      </c>
      <c r="F106" s="7" t="s">
        <v>108</v>
      </c>
      <c r="G106" s="4" t="s">
        <v>111</v>
      </c>
      <c r="H106" s="4" t="s">
        <v>121</v>
      </c>
      <c r="I106" s="9">
        <v>2355</v>
      </c>
      <c r="J106" s="9" t="s">
        <v>126</v>
      </c>
      <c r="K106" s="8">
        <v>45205</v>
      </c>
      <c r="L106" s="21">
        <v>2355</v>
      </c>
      <c r="M106" s="8"/>
      <c r="N106" s="21"/>
      <c r="O106" s="8"/>
      <c r="P106" s="21"/>
      <c r="Q106" s="8"/>
      <c r="R106" s="28"/>
    </row>
    <row r="107" spans="1:18">
      <c r="A107" s="1" t="s">
        <v>244</v>
      </c>
      <c r="B107" s="6" t="s">
        <v>48</v>
      </c>
      <c r="C107" s="7">
        <v>45255</v>
      </c>
      <c r="D107" s="25">
        <f t="shared" si="2"/>
        <v>11</v>
      </c>
      <c r="E107" s="25">
        <f t="shared" si="3"/>
        <v>2023</v>
      </c>
      <c r="F107" s="7" t="s">
        <v>97</v>
      </c>
      <c r="G107" s="4" t="s">
        <v>112</v>
      </c>
      <c r="H107" s="4" t="s">
        <v>123</v>
      </c>
      <c r="I107" s="9">
        <v>701</v>
      </c>
      <c r="J107" s="9" t="s">
        <v>126</v>
      </c>
      <c r="K107" s="8">
        <v>45256</v>
      </c>
      <c r="L107" s="21">
        <v>701</v>
      </c>
      <c r="M107" s="8"/>
      <c r="N107" s="21"/>
      <c r="O107" s="8"/>
      <c r="P107" s="21"/>
      <c r="Q107" s="8"/>
      <c r="R107" s="28"/>
    </row>
    <row r="108" spans="1:18">
      <c r="A108" s="1" t="s">
        <v>245</v>
      </c>
      <c r="B108" s="6" t="s">
        <v>32</v>
      </c>
      <c r="C108" s="7">
        <v>45153</v>
      </c>
      <c r="D108" s="25">
        <f t="shared" si="2"/>
        <v>8</v>
      </c>
      <c r="E108" s="25">
        <f t="shared" si="3"/>
        <v>2023</v>
      </c>
      <c r="F108" s="7" t="s">
        <v>81</v>
      </c>
      <c r="G108" s="4" t="s">
        <v>110</v>
      </c>
      <c r="H108" s="4" t="s">
        <v>124</v>
      </c>
      <c r="I108" s="9">
        <v>-950</v>
      </c>
      <c r="J108" s="9" t="s">
        <v>138</v>
      </c>
      <c r="K108" s="8">
        <v>45154</v>
      </c>
      <c r="L108" s="21">
        <v>-475</v>
      </c>
      <c r="M108" s="8">
        <v>45183</v>
      </c>
      <c r="N108" s="21">
        <v>-475</v>
      </c>
      <c r="O108" s="8"/>
      <c r="P108" s="21"/>
      <c r="Q108" s="8"/>
      <c r="R108" s="28"/>
    </row>
    <row r="109" spans="1:18">
      <c r="A109" s="1" t="s">
        <v>246</v>
      </c>
      <c r="B109" s="6" t="s">
        <v>54</v>
      </c>
      <c r="C109" s="7">
        <v>45302</v>
      </c>
      <c r="D109" s="25">
        <f t="shared" si="2"/>
        <v>1</v>
      </c>
      <c r="E109" s="25">
        <f t="shared" si="3"/>
        <v>2024</v>
      </c>
      <c r="F109" s="7" t="s">
        <v>103</v>
      </c>
      <c r="G109" s="4" t="s">
        <v>110</v>
      </c>
      <c r="H109" s="4" t="s">
        <v>124</v>
      </c>
      <c r="I109" s="9">
        <v>-2406</v>
      </c>
      <c r="J109" s="9" t="s">
        <v>126</v>
      </c>
      <c r="K109" s="8">
        <v>45303</v>
      </c>
      <c r="L109" s="21">
        <v>-2406</v>
      </c>
      <c r="M109" s="8"/>
      <c r="N109" s="21"/>
      <c r="O109" s="8"/>
      <c r="P109" s="21"/>
      <c r="Q109" s="8"/>
      <c r="R109" s="28"/>
    </row>
    <row r="110" spans="1:18">
      <c r="A110" s="1" t="s">
        <v>247</v>
      </c>
      <c r="B110" s="6" t="s">
        <v>30</v>
      </c>
      <c r="C110" s="7">
        <v>45268</v>
      </c>
      <c r="D110" s="25">
        <f t="shared" si="2"/>
        <v>12</v>
      </c>
      <c r="E110" s="25">
        <f t="shared" si="3"/>
        <v>2023</v>
      </c>
      <c r="F110" s="7" t="s">
        <v>79</v>
      </c>
      <c r="G110" s="4" t="s">
        <v>111</v>
      </c>
      <c r="H110" s="4" t="s">
        <v>118</v>
      </c>
      <c r="I110" s="9">
        <v>5721</v>
      </c>
      <c r="J110" s="9" t="s">
        <v>136</v>
      </c>
      <c r="K110" s="8">
        <v>45269</v>
      </c>
      <c r="L110" s="21">
        <v>1430.25</v>
      </c>
      <c r="M110" s="8">
        <v>45298</v>
      </c>
      <c r="N110" s="21">
        <v>1430.25</v>
      </c>
      <c r="O110" s="8">
        <v>45313</v>
      </c>
      <c r="P110" s="21">
        <v>1430.25</v>
      </c>
      <c r="Q110" s="8">
        <v>45328</v>
      </c>
      <c r="R110" s="28">
        <v>1430.25</v>
      </c>
    </row>
    <row r="111" spans="1:18">
      <c r="A111" s="1" t="s">
        <v>248</v>
      </c>
      <c r="B111" s="6" t="s">
        <v>42</v>
      </c>
      <c r="C111" s="7">
        <v>45270</v>
      </c>
      <c r="D111" s="25">
        <f t="shared" si="2"/>
        <v>12</v>
      </c>
      <c r="E111" s="25">
        <f t="shared" si="3"/>
        <v>2023</v>
      </c>
      <c r="F111" s="7" t="s">
        <v>91</v>
      </c>
      <c r="G111" s="4" t="s">
        <v>111</v>
      </c>
      <c r="H111" s="4" t="s">
        <v>117</v>
      </c>
      <c r="I111" s="9">
        <v>9351</v>
      </c>
      <c r="J111" s="9" t="s">
        <v>137</v>
      </c>
      <c r="K111" s="8">
        <v>45271</v>
      </c>
      <c r="L111" s="21">
        <v>3117</v>
      </c>
      <c r="M111" s="8">
        <v>45300</v>
      </c>
      <c r="N111" s="21">
        <v>3117</v>
      </c>
      <c r="O111" s="8">
        <v>45315</v>
      </c>
      <c r="P111" s="21">
        <v>3117</v>
      </c>
      <c r="Q111" s="8"/>
      <c r="R111" s="28"/>
    </row>
    <row r="112" spans="1:18">
      <c r="A112" s="1" t="s">
        <v>249</v>
      </c>
      <c r="B112" s="6" t="s">
        <v>36</v>
      </c>
      <c r="C112" s="7">
        <v>45393</v>
      </c>
      <c r="D112" s="25">
        <f t="shared" si="2"/>
        <v>4</v>
      </c>
      <c r="E112" s="25">
        <f t="shared" si="3"/>
        <v>2024</v>
      </c>
      <c r="F112" s="7" t="s">
        <v>85</v>
      </c>
      <c r="G112" s="4" t="s">
        <v>111</v>
      </c>
      <c r="H112" s="4" t="s">
        <v>120</v>
      </c>
      <c r="I112" s="9">
        <v>8439</v>
      </c>
      <c r="J112" s="9" t="s">
        <v>137</v>
      </c>
      <c r="K112" s="8">
        <v>45394</v>
      </c>
      <c r="L112" s="21">
        <v>2813</v>
      </c>
      <c r="M112" s="8">
        <v>45423</v>
      </c>
      <c r="N112" s="21">
        <v>2813</v>
      </c>
      <c r="O112" s="8">
        <v>45438</v>
      </c>
      <c r="P112" s="21">
        <v>2813</v>
      </c>
      <c r="Q112" s="8"/>
      <c r="R112" s="28"/>
    </row>
    <row r="113" spans="1:18">
      <c r="A113" s="1" t="s">
        <v>250</v>
      </c>
      <c r="B113" s="6" t="s">
        <v>29</v>
      </c>
      <c r="C113" s="7">
        <v>45038</v>
      </c>
      <c r="D113" s="25">
        <f t="shared" si="2"/>
        <v>4</v>
      </c>
      <c r="E113" s="25">
        <f t="shared" si="3"/>
        <v>2023</v>
      </c>
      <c r="F113" s="7" t="s">
        <v>78</v>
      </c>
      <c r="G113" s="4" t="s">
        <v>111</v>
      </c>
      <c r="H113" s="4" t="s">
        <v>121</v>
      </c>
      <c r="I113" s="9">
        <v>7019</v>
      </c>
      <c r="J113" s="9" t="s">
        <v>137</v>
      </c>
      <c r="K113" s="8">
        <v>45039</v>
      </c>
      <c r="L113" s="21">
        <v>2339.6666666666665</v>
      </c>
      <c r="M113" s="8">
        <v>45068</v>
      </c>
      <c r="N113" s="21">
        <v>2339.6666666666665</v>
      </c>
      <c r="O113" s="8">
        <v>45083</v>
      </c>
      <c r="P113" s="21">
        <v>2339.6666666666665</v>
      </c>
      <c r="Q113" s="8"/>
      <c r="R113" s="28"/>
    </row>
    <row r="114" spans="1:18">
      <c r="A114" s="1" t="s">
        <v>251</v>
      </c>
      <c r="B114" s="6" t="s">
        <v>41</v>
      </c>
      <c r="C114" s="7">
        <v>45155</v>
      </c>
      <c r="D114" s="25">
        <f t="shared" si="2"/>
        <v>8</v>
      </c>
      <c r="E114" s="25">
        <f t="shared" si="3"/>
        <v>2023</v>
      </c>
      <c r="F114" s="7" t="s">
        <v>90</v>
      </c>
      <c r="G114" s="4" t="s">
        <v>111</v>
      </c>
      <c r="H114" s="4" t="s">
        <v>118</v>
      </c>
      <c r="I114" s="9">
        <v>8047</v>
      </c>
      <c r="J114" s="9" t="s">
        <v>136</v>
      </c>
      <c r="K114" s="8">
        <v>45156</v>
      </c>
      <c r="L114" s="21">
        <v>2011.75</v>
      </c>
      <c r="M114" s="8">
        <v>45185</v>
      </c>
      <c r="N114" s="21">
        <v>2011.75</v>
      </c>
      <c r="O114" s="8">
        <v>45200</v>
      </c>
      <c r="P114" s="21">
        <v>2011.75</v>
      </c>
      <c r="Q114" s="8">
        <v>45215</v>
      </c>
      <c r="R114" s="28">
        <v>2011.75</v>
      </c>
    </row>
    <row r="115" spans="1:18">
      <c r="A115" s="1" t="s">
        <v>252</v>
      </c>
      <c r="B115" s="6" t="s">
        <v>45</v>
      </c>
      <c r="C115" s="7">
        <v>45173</v>
      </c>
      <c r="D115" s="25">
        <f t="shared" si="2"/>
        <v>9</v>
      </c>
      <c r="E115" s="25">
        <f t="shared" si="3"/>
        <v>2023</v>
      </c>
      <c r="F115" s="7" t="s">
        <v>94</v>
      </c>
      <c r="G115" s="4" t="s">
        <v>110</v>
      </c>
      <c r="H115" s="4" t="s">
        <v>113</v>
      </c>
      <c r="I115" s="9">
        <v>-9568</v>
      </c>
      <c r="J115" s="9" t="s">
        <v>137</v>
      </c>
      <c r="K115" s="8">
        <v>45174</v>
      </c>
      <c r="L115" s="21">
        <v>-3189.3333333333335</v>
      </c>
      <c r="M115" s="8">
        <v>45203</v>
      </c>
      <c r="N115" s="21">
        <v>-3189.3333333333335</v>
      </c>
      <c r="O115" s="8">
        <v>45218</v>
      </c>
      <c r="P115" s="21">
        <v>-3189.3333333333335</v>
      </c>
      <c r="Q115" s="8"/>
      <c r="R115" s="28"/>
    </row>
    <row r="116" spans="1:18">
      <c r="A116" s="1" t="s">
        <v>253</v>
      </c>
      <c r="B116" s="6" t="s">
        <v>23</v>
      </c>
      <c r="C116" s="7">
        <v>45210</v>
      </c>
      <c r="D116" s="25">
        <f t="shared" si="2"/>
        <v>10</v>
      </c>
      <c r="E116" s="25">
        <f t="shared" si="3"/>
        <v>2023</v>
      </c>
      <c r="F116" s="7" t="s">
        <v>72</v>
      </c>
      <c r="G116" s="4" t="s">
        <v>110</v>
      </c>
      <c r="H116" s="4" t="s">
        <v>113</v>
      </c>
      <c r="I116" s="9">
        <v>-4355</v>
      </c>
      <c r="J116" s="9" t="s">
        <v>137</v>
      </c>
      <c r="K116" s="8">
        <v>45211</v>
      </c>
      <c r="L116" s="21">
        <v>-1451.6666666666667</v>
      </c>
      <c r="M116" s="8">
        <v>45240</v>
      </c>
      <c r="N116" s="21">
        <v>-1451.6666666666667</v>
      </c>
      <c r="O116" s="8">
        <v>45255</v>
      </c>
      <c r="P116" s="21">
        <v>-1451.6666666666667</v>
      </c>
      <c r="Q116" s="8"/>
      <c r="R116" s="28"/>
    </row>
    <row r="117" spans="1:18">
      <c r="A117" s="1" t="s">
        <v>254</v>
      </c>
      <c r="B117" s="6" t="s">
        <v>52</v>
      </c>
      <c r="C117" s="7">
        <v>45238</v>
      </c>
      <c r="D117" s="25">
        <f t="shared" si="2"/>
        <v>11</v>
      </c>
      <c r="E117" s="25">
        <f t="shared" si="3"/>
        <v>2023</v>
      </c>
      <c r="F117" s="7" t="s">
        <v>101</v>
      </c>
      <c r="G117" s="4" t="s">
        <v>111</v>
      </c>
      <c r="H117" s="4" t="s">
        <v>118</v>
      </c>
      <c r="I117" s="9">
        <v>9168</v>
      </c>
      <c r="J117" s="9" t="s">
        <v>137</v>
      </c>
      <c r="K117" s="8">
        <v>45239</v>
      </c>
      <c r="L117" s="21">
        <v>3056</v>
      </c>
      <c r="M117" s="8">
        <v>45268</v>
      </c>
      <c r="N117" s="21">
        <v>3056</v>
      </c>
      <c r="O117" s="8">
        <v>45283</v>
      </c>
      <c r="P117" s="21">
        <v>3056</v>
      </c>
      <c r="Q117" s="8"/>
      <c r="R117" s="28"/>
    </row>
    <row r="118" spans="1:18">
      <c r="A118" s="1" t="s">
        <v>255</v>
      </c>
      <c r="B118" s="6" t="s">
        <v>53</v>
      </c>
      <c r="C118" s="7">
        <v>45421</v>
      </c>
      <c r="D118" s="25">
        <f t="shared" si="2"/>
        <v>5</v>
      </c>
      <c r="E118" s="25">
        <f t="shared" si="3"/>
        <v>2024</v>
      </c>
      <c r="F118" s="7" t="s">
        <v>102</v>
      </c>
      <c r="G118" s="4" t="s">
        <v>111</v>
      </c>
      <c r="H118" s="4" t="s">
        <v>117</v>
      </c>
      <c r="I118" s="9">
        <v>1151</v>
      </c>
      <c r="J118" s="9" t="s">
        <v>138</v>
      </c>
      <c r="K118" s="8">
        <v>45422</v>
      </c>
      <c r="L118" s="21">
        <v>575.5</v>
      </c>
      <c r="M118" s="8">
        <v>45451</v>
      </c>
      <c r="N118" s="21">
        <v>575.5</v>
      </c>
      <c r="O118" s="8"/>
      <c r="P118" s="21"/>
      <c r="Q118" s="8"/>
      <c r="R118" s="28"/>
    </row>
    <row r="119" spans="1:18">
      <c r="A119" s="1" t="s">
        <v>256</v>
      </c>
      <c r="B119" s="6" t="s">
        <v>46</v>
      </c>
      <c r="C119" s="7">
        <v>45536</v>
      </c>
      <c r="D119" s="25">
        <f t="shared" si="2"/>
        <v>9</v>
      </c>
      <c r="E119" s="25">
        <f t="shared" si="3"/>
        <v>2024</v>
      </c>
      <c r="F119" s="7" t="s">
        <v>95</v>
      </c>
      <c r="G119" s="4" t="s">
        <v>112</v>
      </c>
      <c r="H119" s="4" t="s">
        <v>122</v>
      </c>
      <c r="I119" s="9">
        <v>9981</v>
      </c>
      <c r="J119" s="9" t="s">
        <v>126</v>
      </c>
      <c r="K119" s="8">
        <v>45537</v>
      </c>
      <c r="L119" s="21">
        <v>9981</v>
      </c>
      <c r="M119" s="8"/>
      <c r="N119" s="21"/>
      <c r="O119" s="8"/>
      <c r="P119" s="21"/>
      <c r="Q119" s="8"/>
      <c r="R119" s="28"/>
    </row>
    <row r="120" spans="1:18">
      <c r="A120" s="1" t="s">
        <v>257</v>
      </c>
      <c r="B120" s="6" t="s">
        <v>19</v>
      </c>
      <c r="C120" s="7">
        <v>45143</v>
      </c>
      <c r="D120" s="25">
        <f t="shared" si="2"/>
        <v>8</v>
      </c>
      <c r="E120" s="25">
        <f t="shared" si="3"/>
        <v>2023</v>
      </c>
      <c r="F120" s="7" t="s">
        <v>68</v>
      </c>
      <c r="G120" s="4" t="s">
        <v>111</v>
      </c>
      <c r="H120" s="4" t="s">
        <v>118</v>
      </c>
      <c r="I120" s="9">
        <v>6993</v>
      </c>
      <c r="J120" s="9" t="s">
        <v>136</v>
      </c>
      <c r="K120" s="8">
        <v>45144</v>
      </c>
      <c r="L120" s="21">
        <v>1748.25</v>
      </c>
      <c r="M120" s="8">
        <v>45173</v>
      </c>
      <c r="N120" s="21">
        <v>1748.25</v>
      </c>
      <c r="O120" s="8">
        <v>45188</v>
      </c>
      <c r="P120" s="21">
        <v>1748.25</v>
      </c>
      <c r="Q120" s="8">
        <v>45203</v>
      </c>
      <c r="R120" s="28">
        <v>1748.25</v>
      </c>
    </row>
    <row r="121" spans="1:18">
      <c r="A121" s="1" t="s">
        <v>258</v>
      </c>
      <c r="B121" s="6" t="s">
        <v>31</v>
      </c>
      <c r="C121" s="7">
        <v>45314</v>
      </c>
      <c r="D121" s="25">
        <f t="shared" si="2"/>
        <v>1</v>
      </c>
      <c r="E121" s="25">
        <f t="shared" si="3"/>
        <v>2024</v>
      </c>
      <c r="F121" s="7" t="s">
        <v>80</v>
      </c>
      <c r="G121" s="4" t="s">
        <v>111</v>
      </c>
      <c r="H121" s="4" t="s">
        <v>117</v>
      </c>
      <c r="I121" s="9">
        <v>9724</v>
      </c>
      <c r="J121" s="9" t="s">
        <v>136</v>
      </c>
      <c r="K121" s="8">
        <v>45315</v>
      </c>
      <c r="L121" s="21">
        <v>2431</v>
      </c>
      <c r="M121" s="8">
        <v>45344</v>
      </c>
      <c r="N121" s="21">
        <v>2431</v>
      </c>
      <c r="O121" s="8">
        <v>45359</v>
      </c>
      <c r="P121" s="21">
        <v>2431</v>
      </c>
      <c r="Q121" s="8">
        <v>45374</v>
      </c>
      <c r="R121" s="28">
        <v>2431</v>
      </c>
    </row>
    <row r="122" spans="1:18">
      <c r="A122" s="1" t="s">
        <v>259</v>
      </c>
      <c r="B122" s="6" t="s">
        <v>31</v>
      </c>
      <c r="C122" s="7">
        <v>45342</v>
      </c>
      <c r="D122" s="25">
        <f t="shared" si="2"/>
        <v>2</v>
      </c>
      <c r="E122" s="25">
        <f t="shared" si="3"/>
        <v>2024</v>
      </c>
      <c r="F122" s="7" t="s">
        <v>80</v>
      </c>
      <c r="G122" s="4" t="s">
        <v>111</v>
      </c>
      <c r="H122" s="4" t="s">
        <v>117</v>
      </c>
      <c r="I122" s="9">
        <v>9125</v>
      </c>
      <c r="J122" s="9" t="s">
        <v>138</v>
      </c>
      <c r="K122" s="8">
        <v>45343</v>
      </c>
      <c r="L122" s="21">
        <v>4562.5</v>
      </c>
      <c r="M122" s="8">
        <v>45372</v>
      </c>
      <c r="N122" s="21">
        <v>4562.5</v>
      </c>
      <c r="O122" s="8"/>
      <c r="P122" s="21"/>
      <c r="Q122" s="8"/>
      <c r="R122" s="28"/>
    </row>
    <row r="123" spans="1:18">
      <c r="A123" s="1" t="s">
        <v>260</v>
      </c>
      <c r="B123" s="6" t="s">
        <v>36</v>
      </c>
      <c r="C123" s="7">
        <v>45328</v>
      </c>
      <c r="D123" s="25">
        <f t="shared" si="2"/>
        <v>2</v>
      </c>
      <c r="E123" s="25">
        <f t="shared" si="3"/>
        <v>2024</v>
      </c>
      <c r="F123" s="7" t="s">
        <v>85</v>
      </c>
      <c r="G123" s="4" t="s">
        <v>111</v>
      </c>
      <c r="H123" s="4" t="s">
        <v>120</v>
      </c>
      <c r="I123" s="9">
        <v>4627</v>
      </c>
      <c r="J123" s="9" t="s">
        <v>138</v>
      </c>
      <c r="K123" s="8">
        <v>45329</v>
      </c>
      <c r="L123" s="21">
        <v>2313.5</v>
      </c>
      <c r="M123" s="8">
        <v>45358</v>
      </c>
      <c r="N123" s="21">
        <v>2313.5</v>
      </c>
      <c r="O123" s="8"/>
      <c r="P123" s="21"/>
      <c r="Q123" s="8"/>
      <c r="R123" s="28"/>
    </row>
    <row r="124" spans="1:18">
      <c r="A124" s="1" t="s">
        <v>261</v>
      </c>
      <c r="B124" s="6" t="s">
        <v>55</v>
      </c>
      <c r="C124" s="7">
        <v>45144</v>
      </c>
      <c r="D124" s="25">
        <f t="shared" si="2"/>
        <v>8</v>
      </c>
      <c r="E124" s="25">
        <f t="shared" si="3"/>
        <v>2023</v>
      </c>
      <c r="F124" s="7" t="s">
        <v>104</v>
      </c>
      <c r="G124" s="4" t="s">
        <v>111</v>
      </c>
      <c r="H124" s="4" t="s">
        <v>119</v>
      </c>
      <c r="I124" s="9">
        <v>7757</v>
      </c>
      <c r="J124" s="9" t="s">
        <v>137</v>
      </c>
      <c r="K124" s="8">
        <v>45145</v>
      </c>
      <c r="L124" s="21">
        <v>2585.6666666666665</v>
      </c>
      <c r="M124" s="8">
        <v>45174</v>
      </c>
      <c r="N124" s="21">
        <v>2585.6666666666665</v>
      </c>
      <c r="O124" s="8">
        <v>45189</v>
      </c>
      <c r="P124" s="21">
        <v>2585.6666666666665</v>
      </c>
      <c r="Q124" s="8"/>
      <c r="R124" s="28"/>
    </row>
    <row r="125" spans="1:18">
      <c r="A125" s="1" t="s">
        <v>262</v>
      </c>
      <c r="B125" s="6" t="s">
        <v>29</v>
      </c>
      <c r="C125" s="7">
        <v>45246</v>
      </c>
      <c r="D125" s="25">
        <f t="shared" si="2"/>
        <v>11</v>
      </c>
      <c r="E125" s="25">
        <f t="shared" si="3"/>
        <v>2023</v>
      </c>
      <c r="F125" s="7" t="s">
        <v>78</v>
      </c>
      <c r="G125" s="4" t="s">
        <v>111</v>
      </c>
      <c r="H125" s="4" t="s">
        <v>121</v>
      </c>
      <c r="I125" s="9">
        <v>8321</v>
      </c>
      <c r="J125" s="9" t="s">
        <v>126</v>
      </c>
      <c r="K125" s="8">
        <v>45247</v>
      </c>
      <c r="L125" s="21">
        <v>8321</v>
      </c>
      <c r="M125" s="8"/>
      <c r="N125" s="21"/>
      <c r="O125" s="8"/>
      <c r="P125" s="21"/>
      <c r="Q125" s="8"/>
      <c r="R125" s="28"/>
    </row>
    <row r="126" spans="1:18">
      <c r="A126" s="1" t="s">
        <v>263</v>
      </c>
      <c r="B126" s="6" t="s">
        <v>48</v>
      </c>
      <c r="C126" s="7">
        <v>45203</v>
      </c>
      <c r="D126" s="25">
        <f t="shared" si="2"/>
        <v>10</v>
      </c>
      <c r="E126" s="25">
        <f t="shared" si="3"/>
        <v>2023</v>
      </c>
      <c r="F126" s="7" t="s">
        <v>97</v>
      </c>
      <c r="G126" s="4" t="s">
        <v>112</v>
      </c>
      <c r="H126" s="4" t="s">
        <v>123</v>
      </c>
      <c r="I126" s="9">
        <v>6861</v>
      </c>
      <c r="J126" s="9" t="s">
        <v>126</v>
      </c>
      <c r="K126" s="8">
        <v>45204</v>
      </c>
      <c r="L126" s="21">
        <v>6861</v>
      </c>
      <c r="M126" s="8"/>
      <c r="N126" s="21"/>
      <c r="O126" s="8"/>
      <c r="P126" s="21"/>
      <c r="Q126" s="8"/>
      <c r="R126" s="28"/>
    </row>
    <row r="127" spans="1:18">
      <c r="A127" s="1" t="s">
        <v>264</v>
      </c>
      <c r="B127" s="6" t="s">
        <v>41</v>
      </c>
      <c r="C127" s="7">
        <v>45358</v>
      </c>
      <c r="D127" s="25">
        <f t="shared" si="2"/>
        <v>3</v>
      </c>
      <c r="E127" s="25">
        <f t="shared" si="3"/>
        <v>2024</v>
      </c>
      <c r="F127" s="7" t="s">
        <v>90</v>
      </c>
      <c r="G127" s="4" t="s">
        <v>111</v>
      </c>
      <c r="H127" s="4" t="s">
        <v>118</v>
      </c>
      <c r="I127" s="9">
        <v>1217</v>
      </c>
      <c r="J127" s="9" t="s">
        <v>138</v>
      </c>
      <c r="K127" s="8">
        <v>45359</v>
      </c>
      <c r="L127" s="21">
        <v>608.5</v>
      </c>
      <c r="M127" s="8">
        <v>45388</v>
      </c>
      <c r="N127" s="21">
        <v>608.5</v>
      </c>
      <c r="O127" s="8"/>
      <c r="P127" s="21"/>
      <c r="Q127" s="8"/>
      <c r="R127" s="28"/>
    </row>
    <row r="128" spans="1:18">
      <c r="A128" s="1" t="s">
        <v>265</v>
      </c>
      <c r="B128" s="6" t="s">
        <v>37</v>
      </c>
      <c r="C128" s="7">
        <v>45521</v>
      </c>
      <c r="D128" s="25">
        <f t="shared" si="2"/>
        <v>8</v>
      </c>
      <c r="E128" s="25">
        <f t="shared" si="3"/>
        <v>2024</v>
      </c>
      <c r="F128" s="7" t="s">
        <v>86</v>
      </c>
      <c r="G128" s="4" t="s">
        <v>112</v>
      </c>
      <c r="H128" s="4" t="s">
        <v>123</v>
      </c>
      <c r="I128" s="9">
        <v>8766</v>
      </c>
      <c r="J128" s="9" t="s">
        <v>126</v>
      </c>
      <c r="K128" s="8">
        <v>45522</v>
      </c>
      <c r="L128" s="21">
        <v>8766</v>
      </c>
      <c r="M128" s="8"/>
      <c r="N128" s="21"/>
      <c r="O128" s="8"/>
      <c r="P128" s="21"/>
      <c r="Q128" s="8"/>
      <c r="R128" s="28"/>
    </row>
    <row r="129" spans="1:18">
      <c r="A129" s="1" t="s">
        <v>266</v>
      </c>
      <c r="B129" s="6" t="s">
        <v>21</v>
      </c>
      <c r="C129" s="7">
        <v>45240</v>
      </c>
      <c r="D129" s="25">
        <f t="shared" si="2"/>
        <v>11</v>
      </c>
      <c r="E129" s="25">
        <f t="shared" si="3"/>
        <v>2023</v>
      </c>
      <c r="F129" s="7" t="s">
        <v>70</v>
      </c>
      <c r="G129" s="4" t="s">
        <v>110</v>
      </c>
      <c r="H129" s="4" t="s">
        <v>124</v>
      </c>
      <c r="I129" s="9">
        <v>-7302</v>
      </c>
      <c r="J129" s="9" t="s">
        <v>126</v>
      </c>
      <c r="K129" s="8">
        <v>45241</v>
      </c>
      <c r="L129" s="21">
        <v>-7302</v>
      </c>
      <c r="M129" s="8"/>
      <c r="N129" s="21"/>
      <c r="O129" s="8"/>
      <c r="P129" s="21"/>
      <c r="Q129" s="8"/>
      <c r="R129" s="28"/>
    </row>
    <row r="130" spans="1:18">
      <c r="A130" s="1" t="s">
        <v>267</v>
      </c>
      <c r="B130" s="6" t="s">
        <v>51</v>
      </c>
      <c r="C130" s="7">
        <v>45425</v>
      </c>
      <c r="D130" s="25">
        <f t="shared" si="2"/>
        <v>5</v>
      </c>
      <c r="E130" s="25">
        <f t="shared" si="3"/>
        <v>2024</v>
      </c>
      <c r="F130" s="7" t="s">
        <v>100</v>
      </c>
      <c r="G130" s="4" t="s">
        <v>111</v>
      </c>
      <c r="H130" s="4" t="s">
        <v>121</v>
      </c>
      <c r="I130" s="9">
        <v>3741</v>
      </c>
      <c r="J130" s="9" t="s">
        <v>137</v>
      </c>
      <c r="K130" s="8">
        <v>45426</v>
      </c>
      <c r="L130" s="21">
        <v>1247</v>
      </c>
      <c r="M130" s="8">
        <v>45455</v>
      </c>
      <c r="N130" s="21">
        <v>1247</v>
      </c>
      <c r="O130" s="8">
        <v>45470</v>
      </c>
      <c r="P130" s="21">
        <v>1247</v>
      </c>
      <c r="Q130" s="8"/>
      <c r="R130" s="28"/>
    </row>
    <row r="131" spans="1:18">
      <c r="A131" s="1" t="s">
        <v>268</v>
      </c>
      <c r="B131" s="6" t="s">
        <v>37</v>
      </c>
      <c r="C131" s="7">
        <v>45159</v>
      </c>
      <c r="D131" s="25">
        <f t="shared" si="2"/>
        <v>8</v>
      </c>
      <c r="E131" s="25">
        <f t="shared" si="3"/>
        <v>2023</v>
      </c>
      <c r="F131" s="7" t="s">
        <v>86</v>
      </c>
      <c r="G131" s="4" t="s">
        <v>112</v>
      </c>
      <c r="H131" s="4" t="s">
        <v>123</v>
      </c>
      <c r="I131" s="9">
        <v>1542</v>
      </c>
      <c r="J131" s="9" t="s">
        <v>126</v>
      </c>
      <c r="K131" s="8">
        <v>45160</v>
      </c>
      <c r="L131" s="21">
        <v>1542</v>
      </c>
      <c r="M131" s="8"/>
      <c r="N131" s="21"/>
      <c r="O131" s="8"/>
      <c r="P131" s="21"/>
      <c r="Q131" s="8"/>
      <c r="R131" s="28"/>
    </row>
    <row r="132" spans="1:18">
      <c r="A132" s="1" t="s">
        <v>269</v>
      </c>
      <c r="B132" s="6" t="s">
        <v>35</v>
      </c>
      <c r="C132" s="7">
        <v>45446</v>
      </c>
      <c r="D132" s="25">
        <f t="shared" ref="D132:D195" si="4">MONTH(C132)</f>
        <v>6</v>
      </c>
      <c r="E132" s="25">
        <f t="shared" ref="E132:E195" si="5">YEAR(C132)</f>
        <v>2024</v>
      </c>
      <c r="F132" s="7" t="s">
        <v>84</v>
      </c>
      <c r="G132" s="4" t="s">
        <v>112</v>
      </c>
      <c r="H132" s="4" t="s">
        <v>122</v>
      </c>
      <c r="I132" s="9">
        <v>6146</v>
      </c>
      <c r="J132" s="9" t="s">
        <v>126</v>
      </c>
      <c r="K132" s="8">
        <v>45447</v>
      </c>
      <c r="L132" s="21">
        <v>6146</v>
      </c>
      <c r="M132" s="8"/>
      <c r="N132" s="21"/>
      <c r="O132" s="8"/>
      <c r="P132" s="21"/>
      <c r="Q132" s="8"/>
      <c r="R132" s="28"/>
    </row>
    <row r="133" spans="1:18">
      <c r="A133" s="1" t="s">
        <v>270</v>
      </c>
      <c r="B133" s="6" t="s">
        <v>37</v>
      </c>
      <c r="C133" s="7">
        <v>45401</v>
      </c>
      <c r="D133" s="25">
        <f t="shared" si="4"/>
        <v>4</v>
      </c>
      <c r="E133" s="25">
        <f t="shared" si="5"/>
        <v>2024</v>
      </c>
      <c r="F133" s="7" t="s">
        <v>86</v>
      </c>
      <c r="G133" s="4" t="s">
        <v>112</v>
      </c>
      <c r="H133" s="4" t="s">
        <v>123</v>
      </c>
      <c r="I133" s="9">
        <v>6042</v>
      </c>
      <c r="J133" s="9" t="s">
        <v>126</v>
      </c>
      <c r="K133" s="8">
        <v>45402</v>
      </c>
      <c r="L133" s="21">
        <v>6042</v>
      </c>
      <c r="M133" s="8"/>
      <c r="N133" s="21"/>
      <c r="O133" s="8"/>
      <c r="P133" s="21"/>
      <c r="Q133" s="8"/>
      <c r="R133" s="28"/>
    </row>
    <row r="134" spans="1:18">
      <c r="A134" s="1" t="s">
        <v>271</v>
      </c>
      <c r="B134" s="6" t="s">
        <v>40</v>
      </c>
      <c r="C134" s="7">
        <v>45487</v>
      </c>
      <c r="D134" s="25">
        <f t="shared" si="4"/>
        <v>7</v>
      </c>
      <c r="E134" s="25">
        <f t="shared" si="5"/>
        <v>2024</v>
      </c>
      <c r="F134" s="7" t="s">
        <v>89</v>
      </c>
      <c r="G134" s="4" t="s">
        <v>111</v>
      </c>
      <c r="H134" s="4" t="s">
        <v>121</v>
      </c>
      <c r="I134" s="9">
        <v>9714</v>
      </c>
      <c r="J134" s="9" t="s">
        <v>138</v>
      </c>
      <c r="K134" s="8">
        <v>45488</v>
      </c>
      <c r="L134" s="21">
        <v>4857</v>
      </c>
      <c r="M134" s="8">
        <v>45517</v>
      </c>
      <c r="N134" s="21">
        <v>4857</v>
      </c>
      <c r="O134" s="8"/>
      <c r="P134" s="21"/>
      <c r="Q134" s="8"/>
      <c r="R134" s="28"/>
    </row>
    <row r="135" spans="1:18">
      <c r="A135" s="1" t="s">
        <v>272</v>
      </c>
      <c r="B135" s="6" t="s">
        <v>18</v>
      </c>
      <c r="C135" s="7">
        <v>45343</v>
      </c>
      <c r="D135" s="25">
        <f t="shared" si="4"/>
        <v>2</v>
      </c>
      <c r="E135" s="25">
        <f t="shared" si="5"/>
        <v>2024</v>
      </c>
      <c r="F135" s="7" t="s">
        <v>67</v>
      </c>
      <c r="G135" s="4" t="s">
        <v>111</v>
      </c>
      <c r="H135" s="4" t="s">
        <v>121</v>
      </c>
      <c r="I135" s="9">
        <v>7330</v>
      </c>
      <c r="J135" s="9" t="s">
        <v>136</v>
      </c>
      <c r="K135" s="8">
        <v>45344</v>
      </c>
      <c r="L135" s="21">
        <v>1832.5</v>
      </c>
      <c r="M135" s="8">
        <v>45373</v>
      </c>
      <c r="N135" s="21">
        <v>1832.5</v>
      </c>
      <c r="O135" s="8">
        <v>45388</v>
      </c>
      <c r="P135" s="21">
        <v>1832.5</v>
      </c>
      <c r="Q135" s="8">
        <v>45403</v>
      </c>
      <c r="R135" s="28">
        <v>1832.5</v>
      </c>
    </row>
    <row r="136" spans="1:18">
      <c r="A136" s="1" t="s">
        <v>273</v>
      </c>
      <c r="B136" s="6" t="s">
        <v>29</v>
      </c>
      <c r="C136" s="7">
        <v>45391</v>
      </c>
      <c r="D136" s="25">
        <f t="shared" si="4"/>
        <v>4</v>
      </c>
      <c r="E136" s="25">
        <f t="shared" si="5"/>
        <v>2024</v>
      </c>
      <c r="F136" s="7" t="s">
        <v>78</v>
      </c>
      <c r="G136" s="4" t="s">
        <v>111</v>
      </c>
      <c r="H136" s="4" t="s">
        <v>121</v>
      </c>
      <c r="I136" s="9">
        <v>1691</v>
      </c>
      <c r="J136" s="9" t="s">
        <v>126</v>
      </c>
      <c r="K136" s="8">
        <v>45392</v>
      </c>
      <c r="L136" s="21">
        <v>1691</v>
      </c>
      <c r="M136" s="8"/>
      <c r="N136" s="21"/>
      <c r="O136" s="8"/>
      <c r="P136" s="21"/>
      <c r="Q136" s="8"/>
      <c r="R136" s="28"/>
    </row>
    <row r="137" spans="1:18">
      <c r="A137" s="1" t="s">
        <v>274</v>
      </c>
      <c r="B137" s="6" t="s">
        <v>21</v>
      </c>
      <c r="C137" s="7">
        <v>45082</v>
      </c>
      <c r="D137" s="25">
        <f t="shared" si="4"/>
        <v>6</v>
      </c>
      <c r="E137" s="25">
        <f t="shared" si="5"/>
        <v>2023</v>
      </c>
      <c r="F137" s="7" t="s">
        <v>70</v>
      </c>
      <c r="G137" s="4" t="s">
        <v>110</v>
      </c>
      <c r="H137" s="4" t="s">
        <v>124</v>
      </c>
      <c r="I137" s="9">
        <v>-5737</v>
      </c>
      <c r="J137" s="9" t="s">
        <v>138</v>
      </c>
      <c r="K137" s="8">
        <v>45083</v>
      </c>
      <c r="L137" s="21">
        <v>-2868.5</v>
      </c>
      <c r="M137" s="8">
        <v>45112</v>
      </c>
      <c r="N137" s="21">
        <v>-2868.5</v>
      </c>
      <c r="O137" s="8"/>
      <c r="P137" s="21"/>
      <c r="Q137" s="8"/>
      <c r="R137" s="28"/>
    </row>
    <row r="138" spans="1:18">
      <c r="A138" s="1" t="s">
        <v>275</v>
      </c>
      <c r="B138" s="6" t="s">
        <v>51</v>
      </c>
      <c r="C138" s="7">
        <v>45159</v>
      </c>
      <c r="D138" s="25">
        <f t="shared" si="4"/>
        <v>8</v>
      </c>
      <c r="E138" s="25">
        <f t="shared" si="5"/>
        <v>2023</v>
      </c>
      <c r="F138" s="7" t="s">
        <v>100</v>
      </c>
      <c r="G138" s="4" t="s">
        <v>111</v>
      </c>
      <c r="H138" s="4" t="s">
        <v>121</v>
      </c>
      <c r="I138" s="9">
        <v>7363</v>
      </c>
      <c r="J138" s="9" t="s">
        <v>137</v>
      </c>
      <c r="K138" s="8">
        <v>45160</v>
      </c>
      <c r="L138" s="21">
        <v>2454.3333333333335</v>
      </c>
      <c r="M138" s="8">
        <v>45189</v>
      </c>
      <c r="N138" s="21">
        <v>2454.3333333333335</v>
      </c>
      <c r="O138" s="8">
        <v>45204</v>
      </c>
      <c r="P138" s="21">
        <v>2454.3333333333335</v>
      </c>
      <c r="Q138" s="8"/>
      <c r="R138" s="28"/>
    </row>
    <row r="139" spans="1:18">
      <c r="A139" s="1" t="s">
        <v>276</v>
      </c>
      <c r="B139" s="6" t="s">
        <v>60</v>
      </c>
      <c r="C139" s="7">
        <v>45135</v>
      </c>
      <c r="D139" s="25">
        <f t="shared" si="4"/>
        <v>7</v>
      </c>
      <c r="E139" s="25">
        <f t="shared" si="5"/>
        <v>2023</v>
      </c>
      <c r="F139" s="7" t="s">
        <v>109</v>
      </c>
      <c r="G139" s="4" t="s">
        <v>111</v>
      </c>
      <c r="H139" s="4" t="s">
        <v>118</v>
      </c>
      <c r="I139" s="9">
        <v>9467</v>
      </c>
      <c r="J139" s="9" t="s">
        <v>126</v>
      </c>
      <c r="K139" s="8">
        <v>45136</v>
      </c>
      <c r="L139" s="21">
        <v>9467</v>
      </c>
      <c r="M139" s="8"/>
      <c r="N139" s="21"/>
      <c r="O139" s="8"/>
      <c r="P139" s="21"/>
      <c r="Q139" s="8"/>
      <c r="R139" s="28"/>
    </row>
    <row r="140" spans="1:18">
      <c r="A140" s="1" t="s">
        <v>277</v>
      </c>
      <c r="B140" s="6" t="s">
        <v>35</v>
      </c>
      <c r="C140" s="7">
        <v>45183</v>
      </c>
      <c r="D140" s="25">
        <f t="shared" si="4"/>
        <v>9</v>
      </c>
      <c r="E140" s="25">
        <f t="shared" si="5"/>
        <v>2023</v>
      </c>
      <c r="F140" s="7" t="s">
        <v>84</v>
      </c>
      <c r="G140" s="4" t="s">
        <v>112</v>
      </c>
      <c r="H140" s="4" t="s">
        <v>122</v>
      </c>
      <c r="I140" s="9">
        <v>5854</v>
      </c>
      <c r="J140" s="9" t="s">
        <v>126</v>
      </c>
      <c r="K140" s="8">
        <v>45184</v>
      </c>
      <c r="L140" s="21">
        <v>5854</v>
      </c>
      <c r="M140" s="8"/>
      <c r="N140" s="21"/>
      <c r="O140" s="8"/>
      <c r="P140" s="21"/>
      <c r="Q140" s="8"/>
      <c r="R140" s="28"/>
    </row>
    <row r="141" spans="1:18">
      <c r="A141" s="1" t="s">
        <v>278</v>
      </c>
      <c r="B141" s="6" t="s">
        <v>50</v>
      </c>
      <c r="C141" s="7">
        <v>45506</v>
      </c>
      <c r="D141" s="25">
        <f t="shared" si="4"/>
        <v>8</v>
      </c>
      <c r="E141" s="25">
        <f t="shared" si="5"/>
        <v>2024</v>
      </c>
      <c r="F141" s="7" t="s">
        <v>99</v>
      </c>
      <c r="G141" s="4" t="s">
        <v>110</v>
      </c>
      <c r="H141" s="4" t="s">
        <v>114</v>
      </c>
      <c r="I141" s="9">
        <v>-3772</v>
      </c>
      <c r="J141" s="9" t="s">
        <v>126</v>
      </c>
      <c r="K141" s="8">
        <v>45507</v>
      </c>
      <c r="L141" s="21">
        <v>-3772</v>
      </c>
      <c r="M141" s="8"/>
      <c r="N141" s="21"/>
      <c r="O141" s="8"/>
      <c r="P141" s="21"/>
      <c r="Q141" s="8"/>
      <c r="R141" s="28"/>
    </row>
    <row r="142" spans="1:18">
      <c r="A142" s="1" t="s">
        <v>279</v>
      </c>
      <c r="B142" s="6" t="s">
        <v>22</v>
      </c>
      <c r="C142" s="7">
        <v>45219</v>
      </c>
      <c r="D142" s="25">
        <f t="shared" si="4"/>
        <v>10</v>
      </c>
      <c r="E142" s="25">
        <f t="shared" si="5"/>
        <v>2023</v>
      </c>
      <c r="F142" s="7" t="s">
        <v>71</v>
      </c>
      <c r="G142" s="4" t="s">
        <v>111</v>
      </c>
      <c r="H142" s="4" t="s">
        <v>119</v>
      </c>
      <c r="I142" s="9">
        <v>7231</v>
      </c>
      <c r="J142" s="9" t="s">
        <v>126</v>
      </c>
      <c r="K142" s="8">
        <v>45220</v>
      </c>
      <c r="L142" s="21">
        <v>7231</v>
      </c>
      <c r="M142" s="8"/>
      <c r="N142" s="21"/>
      <c r="O142" s="8"/>
      <c r="P142" s="21"/>
      <c r="Q142" s="8"/>
      <c r="R142" s="28"/>
    </row>
    <row r="143" spans="1:18">
      <c r="A143" s="1" t="s">
        <v>280</v>
      </c>
      <c r="B143" s="6" t="s">
        <v>28</v>
      </c>
      <c r="C143" s="7">
        <v>45157</v>
      </c>
      <c r="D143" s="25">
        <f t="shared" si="4"/>
        <v>8</v>
      </c>
      <c r="E143" s="25">
        <f t="shared" si="5"/>
        <v>2023</v>
      </c>
      <c r="F143" s="7" t="s">
        <v>77</v>
      </c>
      <c r="G143" s="4" t="s">
        <v>110</v>
      </c>
      <c r="H143" s="4" t="s">
        <v>114</v>
      </c>
      <c r="I143" s="9">
        <v>-2181</v>
      </c>
      <c r="J143" s="9" t="s">
        <v>126</v>
      </c>
      <c r="K143" s="8">
        <v>45158</v>
      </c>
      <c r="L143" s="21">
        <v>-2181</v>
      </c>
      <c r="M143" s="8"/>
      <c r="N143" s="21"/>
      <c r="O143" s="8"/>
      <c r="P143" s="21"/>
      <c r="Q143" s="8"/>
      <c r="R143" s="28"/>
    </row>
    <row r="144" spans="1:18">
      <c r="A144" s="1" t="s">
        <v>281</v>
      </c>
      <c r="B144" s="6" t="s">
        <v>54</v>
      </c>
      <c r="C144" s="7">
        <v>45077</v>
      </c>
      <c r="D144" s="25">
        <f t="shared" si="4"/>
        <v>5</v>
      </c>
      <c r="E144" s="25">
        <f t="shared" si="5"/>
        <v>2023</v>
      </c>
      <c r="F144" s="7" t="s">
        <v>103</v>
      </c>
      <c r="G144" s="4" t="s">
        <v>110</v>
      </c>
      <c r="H144" s="4" t="s">
        <v>124</v>
      </c>
      <c r="I144" s="9">
        <v>-8843</v>
      </c>
      <c r="J144" s="9" t="s">
        <v>126</v>
      </c>
      <c r="K144" s="8">
        <v>45078</v>
      </c>
      <c r="L144" s="21">
        <v>-8843</v>
      </c>
      <c r="M144" s="8"/>
      <c r="N144" s="21"/>
      <c r="O144" s="8"/>
      <c r="P144" s="21"/>
      <c r="Q144" s="8"/>
      <c r="R144" s="28"/>
    </row>
    <row r="145" spans="1:18">
      <c r="A145" s="1" t="s">
        <v>282</v>
      </c>
      <c r="B145" s="6" t="s">
        <v>50</v>
      </c>
      <c r="C145" s="7">
        <v>45291</v>
      </c>
      <c r="D145" s="25">
        <f t="shared" si="4"/>
        <v>12</v>
      </c>
      <c r="E145" s="25">
        <f t="shared" si="5"/>
        <v>2023</v>
      </c>
      <c r="F145" s="7" t="s">
        <v>99</v>
      </c>
      <c r="G145" s="4" t="s">
        <v>110</v>
      </c>
      <c r="H145" s="4" t="s">
        <v>114</v>
      </c>
      <c r="I145" s="9">
        <v>-8809</v>
      </c>
      <c r="J145" s="9" t="s">
        <v>126</v>
      </c>
      <c r="K145" s="8">
        <v>45292</v>
      </c>
      <c r="L145" s="21">
        <v>-8809</v>
      </c>
      <c r="M145" s="8"/>
      <c r="N145" s="21"/>
      <c r="O145" s="8"/>
      <c r="P145" s="21"/>
      <c r="Q145" s="8"/>
      <c r="R145" s="28"/>
    </row>
    <row r="146" spans="1:18">
      <c r="A146" s="1" t="s">
        <v>283</v>
      </c>
      <c r="B146" s="6" t="s">
        <v>48</v>
      </c>
      <c r="C146" s="7">
        <v>45354</v>
      </c>
      <c r="D146" s="25">
        <f t="shared" si="4"/>
        <v>3</v>
      </c>
      <c r="E146" s="25">
        <f t="shared" si="5"/>
        <v>2024</v>
      </c>
      <c r="F146" s="7" t="s">
        <v>97</v>
      </c>
      <c r="G146" s="4" t="s">
        <v>112</v>
      </c>
      <c r="H146" s="4" t="s">
        <v>123</v>
      </c>
      <c r="I146" s="9">
        <v>2890</v>
      </c>
      <c r="J146" s="9" t="s">
        <v>126</v>
      </c>
      <c r="K146" s="8">
        <v>45355</v>
      </c>
      <c r="L146" s="21">
        <v>2890</v>
      </c>
      <c r="M146" s="8"/>
      <c r="N146" s="21"/>
      <c r="O146" s="8"/>
      <c r="P146" s="21"/>
      <c r="Q146" s="8"/>
      <c r="R146" s="28"/>
    </row>
    <row r="147" spans="1:18">
      <c r="A147" s="1" t="s">
        <v>284</v>
      </c>
      <c r="B147" s="6" t="s">
        <v>55</v>
      </c>
      <c r="C147" s="7">
        <v>45221</v>
      </c>
      <c r="D147" s="25">
        <f t="shared" si="4"/>
        <v>10</v>
      </c>
      <c r="E147" s="25">
        <f t="shared" si="5"/>
        <v>2023</v>
      </c>
      <c r="F147" s="7" t="s">
        <v>104</v>
      </c>
      <c r="G147" s="4" t="s">
        <v>111</v>
      </c>
      <c r="H147" s="4" t="s">
        <v>119</v>
      </c>
      <c r="I147" s="9">
        <v>3001</v>
      </c>
      <c r="J147" s="9" t="s">
        <v>138</v>
      </c>
      <c r="K147" s="8">
        <v>45222</v>
      </c>
      <c r="L147" s="21">
        <v>1500.5</v>
      </c>
      <c r="M147" s="8">
        <v>45251</v>
      </c>
      <c r="N147" s="21">
        <v>1500.5</v>
      </c>
      <c r="O147" s="8"/>
      <c r="P147" s="21"/>
      <c r="Q147" s="8"/>
      <c r="R147" s="28"/>
    </row>
    <row r="148" spans="1:18">
      <c r="A148" s="1" t="s">
        <v>285</v>
      </c>
      <c r="B148" s="6" t="s">
        <v>59</v>
      </c>
      <c r="C148" s="7">
        <v>45403</v>
      </c>
      <c r="D148" s="25">
        <f t="shared" si="4"/>
        <v>4</v>
      </c>
      <c r="E148" s="25">
        <f t="shared" si="5"/>
        <v>2024</v>
      </c>
      <c r="F148" s="7" t="s">
        <v>108</v>
      </c>
      <c r="G148" s="4" t="s">
        <v>111</v>
      </c>
      <c r="H148" s="4" t="s">
        <v>121</v>
      </c>
      <c r="I148" s="9">
        <v>3567</v>
      </c>
      <c r="J148" s="9" t="s">
        <v>137</v>
      </c>
      <c r="K148" s="8">
        <v>45404</v>
      </c>
      <c r="L148" s="21">
        <v>1189</v>
      </c>
      <c r="M148" s="8">
        <v>45433</v>
      </c>
      <c r="N148" s="21">
        <v>1189</v>
      </c>
      <c r="O148" s="8">
        <v>45448</v>
      </c>
      <c r="P148" s="21">
        <v>1189</v>
      </c>
      <c r="Q148" s="8"/>
      <c r="R148" s="28"/>
    </row>
    <row r="149" spans="1:18">
      <c r="A149" s="1" t="s">
        <v>286</v>
      </c>
      <c r="B149" s="6" t="s">
        <v>32</v>
      </c>
      <c r="C149" s="7">
        <v>45216</v>
      </c>
      <c r="D149" s="25">
        <f t="shared" si="4"/>
        <v>10</v>
      </c>
      <c r="E149" s="25">
        <f t="shared" si="5"/>
        <v>2023</v>
      </c>
      <c r="F149" s="7" t="s">
        <v>81</v>
      </c>
      <c r="G149" s="4" t="s">
        <v>110</v>
      </c>
      <c r="H149" s="4" t="s">
        <v>124</v>
      </c>
      <c r="I149" s="9">
        <v>-4135</v>
      </c>
      <c r="J149" s="9" t="s">
        <v>137</v>
      </c>
      <c r="K149" s="8">
        <v>45217</v>
      </c>
      <c r="L149" s="21">
        <v>-1378.3333333333333</v>
      </c>
      <c r="M149" s="8">
        <v>45246</v>
      </c>
      <c r="N149" s="21">
        <v>-1378.3333333333333</v>
      </c>
      <c r="O149" s="8">
        <v>45261</v>
      </c>
      <c r="P149" s="21">
        <v>-1378.3333333333333</v>
      </c>
      <c r="Q149" s="8"/>
      <c r="R149" s="28"/>
    </row>
    <row r="150" spans="1:18">
      <c r="A150" s="1" t="s">
        <v>287</v>
      </c>
      <c r="B150" s="6" t="s">
        <v>42</v>
      </c>
      <c r="C150" s="7">
        <v>45191</v>
      </c>
      <c r="D150" s="25">
        <f t="shared" si="4"/>
        <v>9</v>
      </c>
      <c r="E150" s="25">
        <f t="shared" si="5"/>
        <v>2023</v>
      </c>
      <c r="F150" s="7" t="s">
        <v>91</v>
      </c>
      <c r="G150" s="4" t="s">
        <v>111</v>
      </c>
      <c r="H150" s="4" t="s">
        <v>117</v>
      </c>
      <c r="I150" s="9">
        <v>3088</v>
      </c>
      <c r="J150" s="9" t="s">
        <v>136</v>
      </c>
      <c r="K150" s="8">
        <v>45192</v>
      </c>
      <c r="L150" s="21">
        <v>772</v>
      </c>
      <c r="M150" s="8">
        <v>45221</v>
      </c>
      <c r="N150" s="21">
        <v>772</v>
      </c>
      <c r="O150" s="8">
        <v>45236</v>
      </c>
      <c r="P150" s="21">
        <v>772</v>
      </c>
      <c r="Q150" s="8">
        <v>45251</v>
      </c>
      <c r="R150" s="28">
        <v>772</v>
      </c>
    </row>
    <row r="151" spans="1:18">
      <c r="A151" s="1" t="s">
        <v>288</v>
      </c>
      <c r="B151" s="6" t="s">
        <v>22</v>
      </c>
      <c r="C151" s="7">
        <v>45208</v>
      </c>
      <c r="D151" s="25">
        <f t="shared" si="4"/>
        <v>10</v>
      </c>
      <c r="E151" s="25">
        <f t="shared" si="5"/>
        <v>2023</v>
      </c>
      <c r="F151" s="7" t="s">
        <v>71</v>
      </c>
      <c r="G151" s="4" t="s">
        <v>111</v>
      </c>
      <c r="H151" s="4" t="s">
        <v>119</v>
      </c>
      <c r="I151" s="9">
        <v>5049</v>
      </c>
      <c r="J151" s="9" t="s">
        <v>136</v>
      </c>
      <c r="K151" s="8">
        <v>45209</v>
      </c>
      <c r="L151" s="21">
        <v>1262.25</v>
      </c>
      <c r="M151" s="8">
        <v>45238</v>
      </c>
      <c r="N151" s="21">
        <v>1262.25</v>
      </c>
      <c r="O151" s="8">
        <v>45253</v>
      </c>
      <c r="P151" s="21">
        <v>1262.25</v>
      </c>
      <c r="Q151" s="8">
        <v>45268</v>
      </c>
      <c r="R151" s="28">
        <v>1262.25</v>
      </c>
    </row>
    <row r="152" spans="1:18">
      <c r="A152" s="1" t="s">
        <v>289</v>
      </c>
      <c r="B152" s="6" t="s">
        <v>22</v>
      </c>
      <c r="C152" s="7">
        <v>45324</v>
      </c>
      <c r="D152" s="25">
        <f t="shared" si="4"/>
        <v>2</v>
      </c>
      <c r="E152" s="25">
        <f t="shared" si="5"/>
        <v>2024</v>
      </c>
      <c r="F152" s="7" t="s">
        <v>71</v>
      </c>
      <c r="G152" s="4" t="s">
        <v>111</v>
      </c>
      <c r="H152" s="4" t="s">
        <v>119</v>
      </c>
      <c r="I152" s="9">
        <v>5827</v>
      </c>
      <c r="J152" s="9" t="s">
        <v>137</v>
      </c>
      <c r="K152" s="8">
        <v>45325</v>
      </c>
      <c r="L152" s="21">
        <v>1942.3333333333333</v>
      </c>
      <c r="M152" s="8">
        <v>45354</v>
      </c>
      <c r="N152" s="21">
        <v>1942.3333333333333</v>
      </c>
      <c r="O152" s="8">
        <v>45369</v>
      </c>
      <c r="P152" s="21">
        <v>1942.3333333333333</v>
      </c>
      <c r="Q152" s="8"/>
      <c r="R152" s="28"/>
    </row>
    <row r="153" spans="1:18">
      <c r="A153" s="1" t="s">
        <v>290</v>
      </c>
      <c r="B153" s="6" t="s">
        <v>13</v>
      </c>
      <c r="C153" s="7">
        <v>45502</v>
      </c>
      <c r="D153" s="25">
        <f t="shared" si="4"/>
        <v>7</v>
      </c>
      <c r="E153" s="25">
        <f t="shared" si="5"/>
        <v>2024</v>
      </c>
      <c r="F153" s="7" t="s">
        <v>63</v>
      </c>
      <c r="G153" s="4" t="s">
        <v>111</v>
      </c>
      <c r="H153" s="4" t="s">
        <v>120</v>
      </c>
      <c r="I153" s="9">
        <v>2016</v>
      </c>
      <c r="J153" s="9" t="s">
        <v>126</v>
      </c>
      <c r="K153" s="8">
        <v>45503</v>
      </c>
      <c r="L153" s="21">
        <v>2016</v>
      </c>
      <c r="M153" s="8"/>
      <c r="N153" s="21"/>
      <c r="O153" s="8"/>
      <c r="P153" s="21"/>
      <c r="Q153" s="8"/>
      <c r="R153" s="28"/>
    </row>
    <row r="154" spans="1:18">
      <c r="A154" s="1" t="s">
        <v>291</v>
      </c>
      <c r="B154" s="6" t="s">
        <v>26</v>
      </c>
      <c r="C154" s="7">
        <v>45311</v>
      </c>
      <c r="D154" s="25">
        <f t="shared" si="4"/>
        <v>1</v>
      </c>
      <c r="E154" s="25">
        <f t="shared" si="5"/>
        <v>2024</v>
      </c>
      <c r="F154" s="7" t="s">
        <v>75</v>
      </c>
      <c r="G154" s="4" t="s">
        <v>112</v>
      </c>
      <c r="H154" s="4" t="s">
        <v>123</v>
      </c>
      <c r="I154" s="9">
        <v>1311</v>
      </c>
      <c r="J154" s="9" t="s">
        <v>126</v>
      </c>
      <c r="K154" s="8">
        <v>45312</v>
      </c>
      <c r="L154" s="21">
        <v>1311</v>
      </c>
      <c r="M154" s="8"/>
      <c r="N154" s="21"/>
      <c r="O154" s="8"/>
      <c r="P154" s="21"/>
      <c r="Q154" s="8"/>
      <c r="R154" s="28"/>
    </row>
    <row r="155" spans="1:18">
      <c r="A155" s="1" t="s">
        <v>292</v>
      </c>
      <c r="B155" s="6" t="s">
        <v>19</v>
      </c>
      <c r="C155" s="7">
        <v>45201</v>
      </c>
      <c r="D155" s="25">
        <f t="shared" si="4"/>
        <v>10</v>
      </c>
      <c r="E155" s="25">
        <f t="shared" si="5"/>
        <v>2023</v>
      </c>
      <c r="F155" s="7" t="s">
        <v>68</v>
      </c>
      <c r="G155" s="4" t="s">
        <v>111</v>
      </c>
      <c r="H155" s="4" t="s">
        <v>118</v>
      </c>
      <c r="I155" s="9">
        <v>6775</v>
      </c>
      <c r="J155" s="9" t="s">
        <v>126</v>
      </c>
      <c r="K155" s="8">
        <v>45202</v>
      </c>
      <c r="L155" s="21">
        <v>6775</v>
      </c>
      <c r="M155" s="8"/>
      <c r="N155" s="21"/>
      <c r="O155" s="8"/>
      <c r="P155" s="21"/>
      <c r="Q155" s="8"/>
      <c r="R155" s="28"/>
    </row>
    <row r="156" spans="1:18">
      <c r="A156" s="1" t="s">
        <v>293</v>
      </c>
      <c r="B156" s="6" t="s">
        <v>48</v>
      </c>
      <c r="C156" s="7">
        <v>45066</v>
      </c>
      <c r="D156" s="25">
        <f t="shared" si="4"/>
        <v>5</v>
      </c>
      <c r="E156" s="25">
        <f t="shared" si="5"/>
        <v>2023</v>
      </c>
      <c r="F156" s="7" t="s">
        <v>97</v>
      </c>
      <c r="G156" s="4" t="s">
        <v>112</v>
      </c>
      <c r="H156" s="4" t="s">
        <v>123</v>
      </c>
      <c r="I156" s="9">
        <v>3480</v>
      </c>
      <c r="J156" s="9" t="s">
        <v>126</v>
      </c>
      <c r="K156" s="8">
        <v>45067</v>
      </c>
      <c r="L156" s="21">
        <v>3480</v>
      </c>
      <c r="M156" s="8"/>
      <c r="N156" s="21"/>
      <c r="O156" s="8"/>
      <c r="P156" s="21"/>
      <c r="Q156" s="8"/>
      <c r="R156" s="28"/>
    </row>
    <row r="157" spans="1:18">
      <c r="A157" s="1" t="s">
        <v>294</v>
      </c>
      <c r="B157" s="6" t="s">
        <v>37</v>
      </c>
      <c r="C157" s="7">
        <v>45362</v>
      </c>
      <c r="D157" s="25">
        <f t="shared" si="4"/>
        <v>3</v>
      </c>
      <c r="E157" s="25">
        <f t="shared" si="5"/>
        <v>2024</v>
      </c>
      <c r="F157" s="7" t="s">
        <v>86</v>
      </c>
      <c r="G157" s="4" t="s">
        <v>112</v>
      </c>
      <c r="H157" s="4" t="s">
        <v>123</v>
      </c>
      <c r="I157" s="9">
        <v>8798</v>
      </c>
      <c r="J157" s="9" t="s">
        <v>126</v>
      </c>
      <c r="K157" s="8">
        <v>45363</v>
      </c>
      <c r="L157" s="21">
        <v>8798</v>
      </c>
      <c r="M157" s="8"/>
      <c r="N157" s="21"/>
      <c r="O157" s="8"/>
      <c r="P157" s="21"/>
      <c r="Q157" s="8"/>
      <c r="R157" s="28"/>
    </row>
    <row r="158" spans="1:18">
      <c r="A158" s="1" t="s">
        <v>295</v>
      </c>
      <c r="B158" s="6" t="s">
        <v>45</v>
      </c>
      <c r="C158" s="7">
        <v>45363</v>
      </c>
      <c r="D158" s="25">
        <f t="shared" si="4"/>
        <v>3</v>
      </c>
      <c r="E158" s="25">
        <f t="shared" si="5"/>
        <v>2024</v>
      </c>
      <c r="F158" s="7" t="s">
        <v>94</v>
      </c>
      <c r="G158" s="4" t="s">
        <v>110</v>
      </c>
      <c r="H158" s="4" t="s">
        <v>113</v>
      </c>
      <c r="I158" s="9">
        <v>-6614</v>
      </c>
      <c r="J158" s="9" t="s">
        <v>136</v>
      </c>
      <c r="K158" s="8">
        <v>45364</v>
      </c>
      <c r="L158" s="21">
        <v>-1653.5</v>
      </c>
      <c r="M158" s="8">
        <v>45393</v>
      </c>
      <c r="N158" s="21">
        <v>-1653.5</v>
      </c>
      <c r="O158" s="8">
        <v>45408</v>
      </c>
      <c r="P158" s="21">
        <v>-1653.5</v>
      </c>
      <c r="Q158" s="8">
        <v>45423</v>
      </c>
      <c r="R158" s="28">
        <v>-1653.5</v>
      </c>
    </row>
    <row r="159" spans="1:18">
      <c r="A159" s="1" t="s">
        <v>296</v>
      </c>
      <c r="B159" s="6" t="s">
        <v>56</v>
      </c>
      <c r="C159" s="7">
        <v>45087</v>
      </c>
      <c r="D159" s="25">
        <f t="shared" si="4"/>
        <v>6</v>
      </c>
      <c r="E159" s="25">
        <f t="shared" si="5"/>
        <v>2023</v>
      </c>
      <c r="F159" s="7" t="s">
        <v>105</v>
      </c>
      <c r="G159" s="4" t="s">
        <v>110</v>
      </c>
      <c r="H159" s="4" t="s">
        <v>113</v>
      </c>
      <c r="I159" s="9">
        <v>-6729</v>
      </c>
      <c r="J159" s="9" t="s">
        <v>137</v>
      </c>
      <c r="K159" s="8">
        <v>45088</v>
      </c>
      <c r="L159" s="21">
        <v>-2243</v>
      </c>
      <c r="M159" s="8">
        <v>45117</v>
      </c>
      <c r="N159" s="21">
        <v>-2243</v>
      </c>
      <c r="O159" s="8">
        <v>45132</v>
      </c>
      <c r="P159" s="21">
        <v>-2243</v>
      </c>
      <c r="Q159" s="8"/>
      <c r="R159" s="28"/>
    </row>
    <row r="160" spans="1:18">
      <c r="A160" s="1" t="s">
        <v>297</v>
      </c>
      <c r="B160" s="6" t="s">
        <v>57</v>
      </c>
      <c r="C160" s="7">
        <v>45430</v>
      </c>
      <c r="D160" s="25">
        <f t="shared" si="4"/>
        <v>5</v>
      </c>
      <c r="E160" s="25">
        <f t="shared" si="5"/>
        <v>2024</v>
      </c>
      <c r="F160" s="7" t="s">
        <v>106</v>
      </c>
      <c r="G160" s="4" t="s">
        <v>112</v>
      </c>
      <c r="H160" s="4" t="s">
        <v>122</v>
      </c>
      <c r="I160" s="9">
        <v>4572</v>
      </c>
      <c r="J160" s="9" t="s">
        <v>126</v>
      </c>
      <c r="K160" s="8">
        <v>45431</v>
      </c>
      <c r="L160" s="21">
        <v>4572</v>
      </c>
      <c r="M160" s="8"/>
      <c r="N160" s="21"/>
      <c r="O160" s="8"/>
      <c r="P160" s="21"/>
      <c r="Q160" s="8"/>
      <c r="R160" s="28"/>
    </row>
    <row r="161" spans="1:18">
      <c r="A161" s="1" t="s">
        <v>298</v>
      </c>
      <c r="B161" s="6" t="s">
        <v>40</v>
      </c>
      <c r="C161" s="7">
        <v>45342</v>
      </c>
      <c r="D161" s="25">
        <f t="shared" si="4"/>
        <v>2</v>
      </c>
      <c r="E161" s="25">
        <f t="shared" si="5"/>
        <v>2024</v>
      </c>
      <c r="F161" s="7" t="s">
        <v>89</v>
      </c>
      <c r="G161" s="4" t="s">
        <v>111</v>
      </c>
      <c r="H161" s="4" t="s">
        <v>121</v>
      </c>
      <c r="I161" s="9">
        <v>7623</v>
      </c>
      <c r="J161" s="9" t="s">
        <v>126</v>
      </c>
      <c r="K161" s="8">
        <v>45343</v>
      </c>
      <c r="L161" s="21">
        <v>7623</v>
      </c>
      <c r="M161" s="8"/>
      <c r="N161" s="21"/>
      <c r="O161" s="8"/>
      <c r="P161" s="21"/>
      <c r="Q161" s="8"/>
      <c r="R161" s="28"/>
    </row>
    <row r="162" spans="1:18">
      <c r="A162" s="1" t="s">
        <v>299</v>
      </c>
      <c r="B162" s="6" t="s">
        <v>19</v>
      </c>
      <c r="C162" s="7">
        <v>45202</v>
      </c>
      <c r="D162" s="25">
        <f t="shared" si="4"/>
        <v>10</v>
      </c>
      <c r="E162" s="25">
        <f t="shared" si="5"/>
        <v>2023</v>
      </c>
      <c r="F162" s="7" t="s">
        <v>68</v>
      </c>
      <c r="G162" s="4" t="s">
        <v>111</v>
      </c>
      <c r="H162" s="4" t="s">
        <v>118</v>
      </c>
      <c r="I162" s="9">
        <v>8345</v>
      </c>
      <c r="J162" s="9" t="s">
        <v>138</v>
      </c>
      <c r="K162" s="8">
        <v>45203</v>
      </c>
      <c r="L162" s="21">
        <v>4172.5</v>
      </c>
      <c r="M162" s="8">
        <v>45232</v>
      </c>
      <c r="N162" s="21">
        <v>4172.5</v>
      </c>
      <c r="O162" s="8"/>
      <c r="P162" s="21"/>
      <c r="Q162" s="8"/>
      <c r="R162" s="28"/>
    </row>
    <row r="163" spans="1:18">
      <c r="A163" s="1" t="s">
        <v>300</v>
      </c>
      <c r="B163" s="6" t="s">
        <v>54</v>
      </c>
      <c r="C163" s="7">
        <v>45390</v>
      </c>
      <c r="D163" s="25">
        <f t="shared" si="4"/>
        <v>4</v>
      </c>
      <c r="E163" s="25">
        <f t="shared" si="5"/>
        <v>2024</v>
      </c>
      <c r="F163" s="7" t="s">
        <v>103</v>
      </c>
      <c r="G163" s="4" t="s">
        <v>110</v>
      </c>
      <c r="H163" s="4" t="s">
        <v>124</v>
      </c>
      <c r="I163" s="9">
        <v>-9714</v>
      </c>
      <c r="J163" s="9" t="s">
        <v>126</v>
      </c>
      <c r="K163" s="8">
        <v>45391</v>
      </c>
      <c r="L163" s="21">
        <v>-9714</v>
      </c>
      <c r="M163" s="8"/>
      <c r="N163" s="21"/>
      <c r="O163" s="8"/>
      <c r="P163" s="21"/>
      <c r="Q163" s="8"/>
      <c r="R163" s="28"/>
    </row>
    <row r="164" spans="1:18">
      <c r="A164" s="1" t="s">
        <v>301</v>
      </c>
      <c r="B164" s="6" t="s">
        <v>32</v>
      </c>
      <c r="C164" s="7">
        <v>45139</v>
      </c>
      <c r="D164" s="25">
        <f t="shared" si="4"/>
        <v>8</v>
      </c>
      <c r="E164" s="25">
        <f t="shared" si="5"/>
        <v>2023</v>
      </c>
      <c r="F164" s="7" t="s">
        <v>81</v>
      </c>
      <c r="G164" s="4" t="s">
        <v>110</v>
      </c>
      <c r="H164" s="4" t="s">
        <v>124</v>
      </c>
      <c r="I164" s="9">
        <v>-8895</v>
      </c>
      <c r="J164" s="9" t="s">
        <v>136</v>
      </c>
      <c r="K164" s="8">
        <v>45140</v>
      </c>
      <c r="L164" s="21">
        <v>-2223.75</v>
      </c>
      <c r="M164" s="8">
        <v>45169</v>
      </c>
      <c r="N164" s="21">
        <v>-2223.75</v>
      </c>
      <c r="O164" s="8">
        <v>45184</v>
      </c>
      <c r="P164" s="21">
        <v>-2223.75</v>
      </c>
      <c r="Q164" s="8">
        <v>45199</v>
      </c>
      <c r="R164" s="28">
        <v>-2223.75</v>
      </c>
    </row>
    <row r="165" spans="1:18">
      <c r="A165" s="1" t="s">
        <v>302</v>
      </c>
      <c r="B165" s="6" t="s">
        <v>34</v>
      </c>
      <c r="C165" s="7">
        <v>45152</v>
      </c>
      <c r="D165" s="25">
        <f t="shared" si="4"/>
        <v>8</v>
      </c>
      <c r="E165" s="25">
        <f t="shared" si="5"/>
        <v>2023</v>
      </c>
      <c r="F165" s="7" t="s">
        <v>83</v>
      </c>
      <c r="G165" s="4" t="s">
        <v>110</v>
      </c>
      <c r="H165" s="4" t="s">
        <v>113</v>
      </c>
      <c r="I165" s="9">
        <v>-5276</v>
      </c>
      <c r="J165" s="9" t="s">
        <v>136</v>
      </c>
      <c r="K165" s="8">
        <v>45153</v>
      </c>
      <c r="L165" s="21">
        <v>-1319</v>
      </c>
      <c r="M165" s="8">
        <v>45182</v>
      </c>
      <c r="N165" s="21">
        <v>-1319</v>
      </c>
      <c r="O165" s="8">
        <v>45197</v>
      </c>
      <c r="P165" s="21">
        <v>-1319</v>
      </c>
      <c r="Q165" s="8">
        <v>45212</v>
      </c>
      <c r="R165" s="28">
        <v>-1319</v>
      </c>
    </row>
    <row r="166" spans="1:18">
      <c r="A166" s="1" t="s">
        <v>303</v>
      </c>
      <c r="B166" s="6" t="s">
        <v>36</v>
      </c>
      <c r="C166" s="7">
        <v>45384</v>
      </c>
      <c r="D166" s="25">
        <f t="shared" si="4"/>
        <v>4</v>
      </c>
      <c r="E166" s="25">
        <f t="shared" si="5"/>
        <v>2024</v>
      </c>
      <c r="F166" s="7" t="s">
        <v>85</v>
      </c>
      <c r="G166" s="4" t="s">
        <v>111</v>
      </c>
      <c r="H166" s="4" t="s">
        <v>120</v>
      </c>
      <c r="I166" s="9">
        <v>2495</v>
      </c>
      <c r="J166" s="9" t="s">
        <v>137</v>
      </c>
      <c r="K166" s="8">
        <v>45385</v>
      </c>
      <c r="L166" s="21">
        <v>831.66666666666663</v>
      </c>
      <c r="M166" s="8">
        <v>45414</v>
      </c>
      <c r="N166" s="21">
        <v>831.66666666666663</v>
      </c>
      <c r="O166" s="8">
        <v>45429</v>
      </c>
      <c r="P166" s="21">
        <v>831.66666666666663</v>
      </c>
      <c r="Q166" s="8"/>
      <c r="R166" s="28"/>
    </row>
    <row r="167" spans="1:18">
      <c r="A167" s="1" t="s">
        <v>304</v>
      </c>
      <c r="B167" s="6" t="s">
        <v>32</v>
      </c>
      <c r="C167" s="7">
        <v>45206</v>
      </c>
      <c r="D167" s="25">
        <f t="shared" si="4"/>
        <v>10</v>
      </c>
      <c r="E167" s="25">
        <f t="shared" si="5"/>
        <v>2023</v>
      </c>
      <c r="F167" s="7" t="s">
        <v>81</v>
      </c>
      <c r="G167" s="4" t="s">
        <v>110</v>
      </c>
      <c r="H167" s="4" t="s">
        <v>124</v>
      </c>
      <c r="I167" s="9">
        <v>-4841</v>
      </c>
      <c r="J167" s="9" t="s">
        <v>126</v>
      </c>
      <c r="K167" s="8">
        <v>45207</v>
      </c>
      <c r="L167" s="21">
        <v>-4841</v>
      </c>
      <c r="M167" s="8"/>
      <c r="N167" s="21"/>
      <c r="O167" s="8"/>
      <c r="P167" s="21"/>
      <c r="Q167" s="8"/>
      <c r="R167" s="28"/>
    </row>
    <row r="168" spans="1:18">
      <c r="A168" s="1" t="s">
        <v>305</v>
      </c>
      <c r="B168" s="6" t="s">
        <v>20</v>
      </c>
      <c r="C168" s="7">
        <v>45247</v>
      </c>
      <c r="D168" s="25">
        <f t="shared" si="4"/>
        <v>11</v>
      </c>
      <c r="E168" s="25">
        <f t="shared" si="5"/>
        <v>2023</v>
      </c>
      <c r="F168" s="7" t="s">
        <v>69</v>
      </c>
      <c r="G168" s="4" t="s">
        <v>111</v>
      </c>
      <c r="H168" s="4" t="s">
        <v>117</v>
      </c>
      <c r="I168" s="9">
        <v>2405</v>
      </c>
      <c r="J168" s="9" t="s">
        <v>136</v>
      </c>
      <c r="K168" s="8">
        <v>45248</v>
      </c>
      <c r="L168" s="21">
        <v>601.25</v>
      </c>
      <c r="M168" s="8">
        <v>45277</v>
      </c>
      <c r="N168" s="21">
        <v>601.25</v>
      </c>
      <c r="O168" s="8">
        <v>45292</v>
      </c>
      <c r="P168" s="21">
        <v>601.25</v>
      </c>
      <c r="Q168" s="8">
        <v>45307</v>
      </c>
      <c r="R168" s="28">
        <v>601.25</v>
      </c>
    </row>
    <row r="169" spans="1:18">
      <c r="A169" s="1" t="s">
        <v>306</v>
      </c>
      <c r="B169" s="6" t="s">
        <v>50</v>
      </c>
      <c r="C169" s="7">
        <v>45346</v>
      </c>
      <c r="D169" s="25">
        <f t="shared" si="4"/>
        <v>2</v>
      </c>
      <c r="E169" s="25">
        <f t="shared" si="5"/>
        <v>2024</v>
      </c>
      <c r="F169" s="7" t="s">
        <v>99</v>
      </c>
      <c r="G169" s="4" t="s">
        <v>110</v>
      </c>
      <c r="H169" s="4" t="s">
        <v>114</v>
      </c>
      <c r="I169" s="9">
        <v>-2708</v>
      </c>
      <c r="J169" s="9" t="s">
        <v>137</v>
      </c>
      <c r="K169" s="8">
        <v>45347</v>
      </c>
      <c r="L169" s="21">
        <v>-902.66666666666663</v>
      </c>
      <c r="M169" s="8">
        <v>45376</v>
      </c>
      <c r="N169" s="21">
        <v>-902.66666666666663</v>
      </c>
      <c r="O169" s="8">
        <v>45391</v>
      </c>
      <c r="P169" s="21">
        <v>-902.66666666666663</v>
      </c>
      <c r="Q169" s="8"/>
      <c r="R169" s="28"/>
    </row>
    <row r="170" spans="1:18">
      <c r="A170" s="1" t="s">
        <v>307</v>
      </c>
      <c r="B170" s="6" t="s">
        <v>59</v>
      </c>
      <c r="C170" s="7">
        <v>45249</v>
      </c>
      <c r="D170" s="25">
        <f t="shared" si="4"/>
        <v>11</v>
      </c>
      <c r="E170" s="25">
        <f t="shared" si="5"/>
        <v>2023</v>
      </c>
      <c r="F170" s="7" t="s">
        <v>108</v>
      </c>
      <c r="G170" s="4" t="s">
        <v>111</v>
      </c>
      <c r="H170" s="4" t="s">
        <v>121</v>
      </c>
      <c r="I170" s="9">
        <v>5056</v>
      </c>
      <c r="J170" s="9" t="s">
        <v>137</v>
      </c>
      <c r="K170" s="8">
        <v>45250</v>
      </c>
      <c r="L170" s="21">
        <v>1685.3333333333333</v>
      </c>
      <c r="M170" s="8">
        <v>45279</v>
      </c>
      <c r="N170" s="21">
        <v>1685.3333333333333</v>
      </c>
      <c r="O170" s="8">
        <v>45294</v>
      </c>
      <c r="P170" s="21">
        <v>1685.3333333333333</v>
      </c>
      <c r="Q170" s="8"/>
      <c r="R170" s="28"/>
    </row>
    <row r="171" spans="1:18">
      <c r="A171" s="1" t="s">
        <v>308</v>
      </c>
      <c r="B171" s="6" t="s">
        <v>43</v>
      </c>
      <c r="C171" s="7">
        <v>45110</v>
      </c>
      <c r="D171" s="25">
        <f t="shared" si="4"/>
        <v>7</v>
      </c>
      <c r="E171" s="25">
        <f t="shared" si="5"/>
        <v>2023</v>
      </c>
      <c r="F171" s="7" t="s">
        <v>92</v>
      </c>
      <c r="G171" s="4" t="s">
        <v>110</v>
      </c>
      <c r="H171" s="4" t="s">
        <v>124</v>
      </c>
      <c r="I171" s="9">
        <v>-8323</v>
      </c>
      <c r="J171" s="9" t="s">
        <v>138</v>
      </c>
      <c r="K171" s="8">
        <v>45111</v>
      </c>
      <c r="L171" s="21">
        <v>-4161.5</v>
      </c>
      <c r="M171" s="8">
        <v>45140</v>
      </c>
      <c r="N171" s="21">
        <v>-4161.5</v>
      </c>
      <c r="O171" s="8"/>
      <c r="P171" s="21"/>
      <c r="Q171" s="8"/>
      <c r="R171" s="28"/>
    </row>
    <row r="172" spans="1:18">
      <c r="A172" s="1" t="s">
        <v>309</v>
      </c>
      <c r="B172" s="6" t="s">
        <v>39</v>
      </c>
      <c r="C172" s="7">
        <v>45202</v>
      </c>
      <c r="D172" s="25">
        <f t="shared" si="4"/>
        <v>10</v>
      </c>
      <c r="E172" s="25">
        <f t="shared" si="5"/>
        <v>2023</v>
      </c>
      <c r="F172" s="7" t="s">
        <v>88</v>
      </c>
      <c r="G172" s="4" t="s">
        <v>110</v>
      </c>
      <c r="H172" s="4" t="s">
        <v>114</v>
      </c>
      <c r="I172" s="9">
        <v>-4870</v>
      </c>
      <c r="J172" s="9" t="s">
        <v>126</v>
      </c>
      <c r="K172" s="8">
        <v>45203</v>
      </c>
      <c r="L172" s="21">
        <v>-4870</v>
      </c>
      <c r="M172" s="8"/>
      <c r="N172" s="21"/>
      <c r="O172" s="8"/>
      <c r="P172" s="21"/>
      <c r="Q172" s="8"/>
      <c r="R172" s="28"/>
    </row>
    <row r="173" spans="1:18">
      <c r="A173" s="1" t="s">
        <v>310</v>
      </c>
      <c r="B173" s="6" t="s">
        <v>27</v>
      </c>
      <c r="C173" s="7">
        <v>45429</v>
      </c>
      <c r="D173" s="25">
        <f t="shared" si="4"/>
        <v>5</v>
      </c>
      <c r="E173" s="25">
        <f t="shared" si="5"/>
        <v>2024</v>
      </c>
      <c r="F173" s="7" t="s">
        <v>76</v>
      </c>
      <c r="G173" s="4" t="s">
        <v>110</v>
      </c>
      <c r="H173" s="4" t="s">
        <v>125</v>
      </c>
      <c r="I173" s="9">
        <v>-5610</v>
      </c>
      <c r="J173" s="9" t="s">
        <v>137</v>
      </c>
      <c r="K173" s="8">
        <v>45430</v>
      </c>
      <c r="L173" s="21">
        <v>-1870</v>
      </c>
      <c r="M173" s="8">
        <v>45459</v>
      </c>
      <c r="N173" s="21">
        <v>-1870</v>
      </c>
      <c r="O173" s="8">
        <v>45474</v>
      </c>
      <c r="P173" s="21">
        <v>-1870</v>
      </c>
      <c r="Q173" s="8"/>
      <c r="R173" s="28"/>
    </row>
    <row r="174" spans="1:18">
      <c r="A174" s="1" t="s">
        <v>311</v>
      </c>
      <c r="B174" s="6" t="s">
        <v>19</v>
      </c>
      <c r="C174" s="7">
        <v>45344</v>
      </c>
      <c r="D174" s="25">
        <f t="shared" si="4"/>
        <v>2</v>
      </c>
      <c r="E174" s="25">
        <f t="shared" si="5"/>
        <v>2024</v>
      </c>
      <c r="F174" s="7" t="s">
        <v>68</v>
      </c>
      <c r="G174" s="4" t="s">
        <v>111</v>
      </c>
      <c r="H174" s="4" t="s">
        <v>118</v>
      </c>
      <c r="I174" s="9">
        <v>4186</v>
      </c>
      <c r="J174" s="9" t="s">
        <v>137</v>
      </c>
      <c r="K174" s="8">
        <v>45345</v>
      </c>
      <c r="L174" s="21">
        <v>1395.3333333333333</v>
      </c>
      <c r="M174" s="8">
        <v>45374</v>
      </c>
      <c r="N174" s="21">
        <v>1395.3333333333333</v>
      </c>
      <c r="O174" s="8">
        <v>45389</v>
      </c>
      <c r="P174" s="21">
        <v>1395.3333333333333</v>
      </c>
      <c r="Q174" s="8"/>
      <c r="R174" s="28"/>
    </row>
    <row r="175" spans="1:18">
      <c r="A175" s="1" t="s">
        <v>312</v>
      </c>
      <c r="B175" s="6" t="s">
        <v>56</v>
      </c>
      <c r="C175" s="7">
        <v>45324</v>
      </c>
      <c r="D175" s="25">
        <f t="shared" si="4"/>
        <v>2</v>
      </c>
      <c r="E175" s="25">
        <f t="shared" si="5"/>
        <v>2024</v>
      </c>
      <c r="F175" s="7" t="s">
        <v>105</v>
      </c>
      <c r="G175" s="4" t="s">
        <v>110</v>
      </c>
      <c r="H175" s="4" t="s">
        <v>113</v>
      </c>
      <c r="I175" s="9">
        <v>-2499</v>
      </c>
      <c r="J175" s="9" t="s">
        <v>126</v>
      </c>
      <c r="K175" s="8">
        <v>45325</v>
      </c>
      <c r="L175" s="21">
        <v>-2499</v>
      </c>
      <c r="M175" s="8"/>
      <c r="N175" s="21"/>
      <c r="O175" s="8"/>
      <c r="P175" s="21"/>
      <c r="Q175" s="8"/>
      <c r="R175" s="28"/>
    </row>
    <row r="176" spans="1:18">
      <c r="A176" s="1" t="s">
        <v>313</v>
      </c>
      <c r="B176" s="6" t="s">
        <v>30</v>
      </c>
      <c r="C176" s="7">
        <v>45135</v>
      </c>
      <c r="D176" s="25">
        <f t="shared" si="4"/>
        <v>7</v>
      </c>
      <c r="E176" s="25">
        <f t="shared" si="5"/>
        <v>2023</v>
      </c>
      <c r="F176" s="7" t="s">
        <v>79</v>
      </c>
      <c r="G176" s="4" t="s">
        <v>111</v>
      </c>
      <c r="H176" s="4" t="s">
        <v>118</v>
      </c>
      <c r="I176" s="9">
        <v>3053</v>
      </c>
      <c r="J176" s="9" t="s">
        <v>138</v>
      </c>
      <c r="K176" s="8">
        <v>45136</v>
      </c>
      <c r="L176" s="21">
        <v>1526.5</v>
      </c>
      <c r="M176" s="8">
        <v>45165</v>
      </c>
      <c r="N176" s="21">
        <v>1526.5</v>
      </c>
      <c r="O176" s="8"/>
      <c r="P176" s="21"/>
      <c r="Q176" s="8"/>
      <c r="R176" s="28"/>
    </row>
    <row r="177" spans="1:18">
      <c r="A177" s="1" t="s">
        <v>314</v>
      </c>
      <c r="B177" s="6" t="s">
        <v>20</v>
      </c>
      <c r="C177" s="7">
        <v>45192</v>
      </c>
      <c r="D177" s="25">
        <f t="shared" si="4"/>
        <v>9</v>
      </c>
      <c r="E177" s="25">
        <f t="shared" si="5"/>
        <v>2023</v>
      </c>
      <c r="F177" s="7" t="s">
        <v>69</v>
      </c>
      <c r="G177" s="4" t="s">
        <v>111</v>
      </c>
      <c r="H177" s="4" t="s">
        <v>117</v>
      </c>
      <c r="I177" s="9">
        <v>2786</v>
      </c>
      <c r="J177" s="9" t="s">
        <v>136</v>
      </c>
      <c r="K177" s="8">
        <v>45193</v>
      </c>
      <c r="L177" s="21">
        <v>696.5</v>
      </c>
      <c r="M177" s="8">
        <v>45222</v>
      </c>
      <c r="N177" s="21">
        <v>696.5</v>
      </c>
      <c r="O177" s="8">
        <v>45237</v>
      </c>
      <c r="P177" s="21">
        <v>696.5</v>
      </c>
      <c r="Q177" s="8">
        <v>45252</v>
      </c>
      <c r="R177" s="28">
        <v>696.5</v>
      </c>
    </row>
    <row r="178" spans="1:18">
      <c r="A178" s="1" t="s">
        <v>315</v>
      </c>
      <c r="B178" s="6" t="s">
        <v>32</v>
      </c>
      <c r="C178" s="7">
        <v>45202</v>
      </c>
      <c r="D178" s="25">
        <f t="shared" si="4"/>
        <v>10</v>
      </c>
      <c r="E178" s="25">
        <f t="shared" si="5"/>
        <v>2023</v>
      </c>
      <c r="F178" s="7" t="s">
        <v>81</v>
      </c>
      <c r="G178" s="4" t="s">
        <v>110</v>
      </c>
      <c r="H178" s="4" t="s">
        <v>124</v>
      </c>
      <c r="I178" s="9">
        <v>-5235</v>
      </c>
      <c r="J178" s="9" t="s">
        <v>136</v>
      </c>
      <c r="K178" s="8">
        <v>45203</v>
      </c>
      <c r="L178" s="21">
        <v>-1308.75</v>
      </c>
      <c r="M178" s="8">
        <v>45232</v>
      </c>
      <c r="N178" s="21">
        <v>-1308.75</v>
      </c>
      <c r="O178" s="8">
        <v>45247</v>
      </c>
      <c r="P178" s="21">
        <v>-1308.75</v>
      </c>
      <c r="Q178" s="8">
        <v>45262</v>
      </c>
      <c r="R178" s="28">
        <v>-1308.75</v>
      </c>
    </row>
    <row r="179" spans="1:18">
      <c r="A179" s="1" t="s">
        <v>316</v>
      </c>
      <c r="B179" s="6" t="s">
        <v>19</v>
      </c>
      <c r="C179" s="7">
        <v>45356</v>
      </c>
      <c r="D179" s="25">
        <f t="shared" si="4"/>
        <v>3</v>
      </c>
      <c r="E179" s="25">
        <f t="shared" si="5"/>
        <v>2024</v>
      </c>
      <c r="F179" s="7" t="s">
        <v>68</v>
      </c>
      <c r="G179" s="4" t="s">
        <v>111</v>
      </c>
      <c r="H179" s="4" t="s">
        <v>118</v>
      </c>
      <c r="I179" s="9">
        <v>7659</v>
      </c>
      <c r="J179" s="9" t="s">
        <v>136</v>
      </c>
      <c r="K179" s="8">
        <v>45357</v>
      </c>
      <c r="L179" s="21">
        <v>1914.75</v>
      </c>
      <c r="M179" s="8">
        <v>45386</v>
      </c>
      <c r="N179" s="21">
        <v>1914.75</v>
      </c>
      <c r="O179" s="8">
        <v>45401</v>
      </c>
      <c r="P179" s="21">
        <v>1914.75</v>
      </c>
      <c r="Q179" s="8">
        <v>45416</v>
      </c>
      <c r="R179" s="28">
        <v>1914.75</v>
      </c>
    </row>
    <row r="180" spans="1:18">
      <c r="A180" s="1" t="s">
        <v>317</v>
      </c>
      <c r="B180" s="6" t="s">
        <v>12</v>
      </c>
      <c r="C180" s="7">
        <v>45381</v>
      </c>
      <c r="D180" s="25">
        <f t="shared" si="4"/>
        <v>3</v>
      </c>
      <c r="E180" s="25">
        <f t="shared" si="5"/>
        <v>2024</v>
      </c>
      <c r="F180" s="7" t="s">
        <v>62</v>
      </c>
      <c r="G180" s="4" t="s">
        <v>112</v>
      </c>
      <c r="H180" s="4" t="s">
        <v>122</v>
      </c>
      <c r="I180" s="9">
        <v>592</v>
      </c>
      <c r="J180" s="9" t="s">
        <v>126</v>
      </c>
      <c r="K180" s="8">
        <v>45382</v>
      </c>
      <c r="L180" s="21">
        <v>592</v>
      </c>
      <c r="M180" s="8"/>
      <c r="N180" s="21"/>
      <c r="O180" s="8"/>
      <c r="P180" s="21"/>
      <c r="Q180" s="8"/>
      <c r="R180" s="28"/>
    </row>
    <row r="181" spans="1:18">
      <c r="A181" s="1" t="s">
        <v>318</v>
      </c>
      <c r="B181" s="6" t="s">
        <v>52</v>
      </c>
      <c r="C181" s="7">
        <v>45066</v>
      </c>
      <c r="D181" s="25">
        <f t="shared" si="4"/>
        <v>5</v>
      </c>
      <c r="E181" s="25">
        <f t="shared" si="5"/>
        <v>2023</v>
      </c>
      <c r="F181" s="7" t="s">
        <v>101</v>
      </c>
      <c r="G181" s="4" t="s">
        <v>111</v>
      </c>
      <c r="H181" s="4" t="s">
        <v>118</v>
      </c>
      <c r="I181" s="9">
        <v>6838</v>
      </c>
      <c r="J181" s="9" t="s">
        <v>126</v>
      </c>
      <c r="K181" s="8">
        <v>45067</v>
      </c>
      <c r="L181" s="21">
        <v>6838</v>
      </c>
      <c r="M181" s="8"/>
      <c r="N181" s="21"/>
      <c r="O181" s="8"/>
      <c r="P181" s="21"/>
      <c r="Q181" s="8"/>
      <c r="R181" s="28"/>
    </row>
    <row r="182" spans="1:18">
      <c r="A182" s="1" t="s">
        <v>319</v>
      </c>
      <c r="B182" s="6" t="s">
        <v>60</v>
      </c>
      <c r="C182" s="7">
        <v>45349</v>
      </c>
      <c r="D182" s="25">
        <f t="shared" si="4"/>
        <v>2</v>
      </c>
      <c r="E182" s="25">
        <f t="shared" si="5"/>
        <v>2024</v>
      </c>
      <c r="F182" s="7" t="s">
        <v>109</v>
      </c>
      <c r="G182" s="4" t="s">
        <v>111</v>
      </c>
      <c r="H182" s="4" t="s">
        <v>118</v>
      </c>
      <c r="I182" s="9">
        <v>7867</v>
      </c>
      <c r="J182" s="9" t="s">
        <v>137</v>
      </c>
      <c r="K182" s="8">
        <v>45350</v>
      </c>
      <c r="L182" s="21">
        <v>2622.3333333333335</v>
      </c>
      <c r="M182" s="8">
        <v>45379</v>
      </c>
      <c r="N182" s="21">
        <v>2622.3333333333335</v>
      </c>
      <c r="O182" s="8">
        <v>45394</v>
      </c>
      <c r="P182" s="21">
        <v>2622.3333333333335</v>
      </c>
      <c r="Q182" s="8"/>
      <c r="R182" s="28"/>
    </row>
    <row r="183" spans="1:18">
      <c r="A183" s="1" t="s">
        <v>320</v>
      </c>
      <c r="B183" s="6" t="s">
        <v>23</v>
      </c>
      <c r="C183" s="7">
        <v>45382</v>
      </c>
      <c r="D183" s="25">
        <f t="shared" si="4"/>
        <v>3</v>
      </c>
      <c r="E183" s="25">
        <f t="shared" si="5"/>
        <v>2024</v>
      </c>
      <c r="F183" s="7" t="s">
        <v>72</v>
      </c>
      <c r="G183" s="4" t="s">
        <v>110</v>
      </c>
      <c r="H183" s="4" t="s">
        <v>113</v>
      </c>
      <c r="I183" s="9">
        <v>-7106</v>
      </c>
      <c r="J183" s="9" t="s">
        <v>137</v>
      </c>
      <c r="K183" s="8">
        <v>45383</v>
      </c>
      <c r="L183" s="21">
        <v>-2368.6666666666665</v>
      </c>
      <c r="M183" s="8">
        <v>45412</v>
      </c>
      <c r="N183" s="21">
        <v>-2368.6666666666665</v>
      </c>
      <c r="O183" s="8">
        <v>45427</v>
      </c>
      <c r="P183" s="21">
        <v>-2368.6666666666665</v>
      </c>
      <c r="Q183" s="8"/>
      <c r="R183" s="28"/>
    </row>
    <row r="184" spans="1:18">
      <c r="A184" s="1" t="s">
        <v>321</v>
      </c>
      <c r="B184" s="6" t="s">
        <v>54</v>
      </c>
      <c r="C184" s="7">
        <v>45156</v>
      </c>
      <c r="D184" s="25">
        <f t="shared" si="4"/>
        <v>8</v>
      </c>
      <c r="E184" s="25">
        <f t="shared" si="5"/>
        <v>2023</v>
      </c>
      <c r="F184" s="7" t="s">
        <v>103</v>
      </c>
      <c r="G184" s="4" t="s">
        <v>110</v>
      </c>
      <c r="H184" s="4" t="s">
        <v>124</v>
      </c>
      <c r="I184" s="9">
        <v>-6679</v>
      </c>
      <c r="J184" s="9" t="s">
        <v>137</v>
      </c>
      <c r="K184" s="8">
        <v>45157</v>
      </c>
      <c r="L184" s="21">
        <v>-2226.3333333333335</v>
      </c>
      <c r="M184" s="8">
        <v>45186</v>
      </c>
      <c r="N184" s="21">
        <v>-2226.3333333333335</v>
      </c>
      <c r="O184" s="8">
        <v>45201</v>
      </c>
      <c r="P184" s="21">
        <v>-2226.3333333333335</v>
      </c>
      <c r="Q184" s="8"/>
      <c r="R184" s="28"/>
    </row>
    <row r="185" spans="1:18">
      <c r="A185" s="1" t="s">
        <v>322</v>
      </c>
      <c r="B185" s="6" t="s">
        <v>49</v>
      </c>
      <c r="C185" s="7">
        <v>45235</v>
      </c>
      <c r="D185" s="25">
        <f t="shared" si="4"/>
        <v>11</v>
      </c>
      <c r="E185" s="25">
        <f t="shared" si="5"/>
        <v>2023</v>
      </c>
      <c r="F185" s="7" t="s">
        <v>98</v>
      </c>
      <c r="G185" s="4" t="s">
        <v>110</v>
      </c>
      <c r="H185" s="4" t="s">
        <v>125</v>
      </c>
      <c r="I185" s="9">
        <v>-401</v>
      </c>
      <c r="J185" s="9" t="s">
        <v>126</v>
      </c>
      <c r="K185" s="8">
        <v>45236</v>
      </c>
      <c r="L185" s="21">
        <v>-401</v>
      </c>
      <c r="M185" s="8"/>
      <c r="N185" s="21"/>
      <c r="O185" s="8"/>
      <c r="P185" s="21"/>
      <c r="Q185" s="8"/>
      <c r="R185" s="28"/>
    </row>
    <row r="186" spans="1:18">
      <c r="A186" s="1" t="s">
        <v>323</v>
      </c>
      <c r="B186" s="6" t="s">
        <v>31</v>
      </c>
      <c r="C186" s="7">
        <v>45261</v>
      </c>
      <c r="D186" s="25">
        <f t="shared" si="4"/>
        <v>12</v>
      </c>
      <c r="E186" s="25">
        <f t="shared" si="5"/>
        <v>2023</v>
      </c>
      <c r="F186" s="7" t="s">
        <v>80</v>
      </c>
      <c r="G186" s="4" t="s">
        <v>111</v>
      </c>
      <c r="H186" s="4" t="s">
        <v>117</v>
      </c>
      <c r="I186" s="9">
        <v>9190</v>
      </c>
      <c r="J186" s="9" t="s">
        <v>138</v>
      </c>
      <c r="K186" s="8">
        <v>45262</v>
      </c>
      <c r="L186" s="21">
        <v>4595</v>
      </c>
      <c r="M186" s="8">
        <v>45291</v>
      </c>
      <c r="N186" s="21">
        <v>4595</v>
      </c>
      <c r="O186" s="8"/>
      <c r="P186" s="21"/>
      <c r="Q186" s="8"/>
      <c r="R186" s="28"/>
    </row>
    <row r="187" spans="1:18">
      <c r="A187" s="1" t="s">
        <v>324</v>
      </c>
      <c r="B187" s="6" t="s">
        <v>26</v>
      </c>
      <c r="C187" s="7">
        <v>45226</v>
      </c>
      <c r="D187" s="25">
        <f t="shared" si="4"/>
        <v>10</v>
      </c>
      <c r="E187" s="25">
        <f t="shared" si="5"/>
        <v>2023</v>
      </c>
      <c r="F187" s="7" t="s">
        <v>75</v>
      </c>
      <c r="G187" s="4" t="s">
        <v>112</v>
      </c>
      <c r="H187" s="4" t="s">
        <v>123</v>
      </c>
      <c r="I187" s="9">
        <v>6129</v>
      </c>
      <c r="J187" s="9" t="s">
        <v>126</v>
      </c>
      <c r="K187" s="8">
        <v>45227</v>
      </c>
      <c r="L187" s="21">
        <v>6129</v>
      </c>
      <c r="M187" s="8"/>
      <c r="N187" s="21"/>
      <c r="O187" s="8"/>
      <c r="P187" s="21"/>
      <c r="Q187" s="8"/>
      <c r="R187" s="28"/>
    </row>
    <row r="188" spans="1:18">
      <c r="A188" s="1" t="s">
        <v>325</v>
      </c>
      <c r="B188" s="6" t="s">
        <v>25</v>
      </c>
      <c r="C188" s="7">
        <v>45172</v>
      </c>
      <c r="D188" s="25">
        <f t="shared" si="4"/>
        <v>9</v>
      </c>
      <c r="E188" s="25">
        <f t="shared" si="5"/>
        <v>2023</v>
      </c>
      <c r="F188" s="7" t="s">
        <v>74</v>
      </c>
      <c r="G188" s="4" t="s">
        <v>111</v>
      </c>
      <c r="H188" s="4" t="s">
        <v>120</v>
      </c>
      <c r="I188" s="9">
        <v>4180</v>
      </c>
      <c r="J188" s="9" t="s">
        <v>137</v>
      </c>
      <c r="K188" s="8">
        <v>45173</v>
      </c>
      <c r="L188" s="21">
        <v>1393.3333333333333</v>
      </c>
      <c r="M188" s="8">
        <v>45202</v>
      </c>
      <c r="N188" s="21">
        <v>1393.3333333333333</v>
      </c>
      <c r="O188" s="8">
        <v>45217</v>
      </c>
      <c r="P188" s="21">
        <v>1393.3333333333333</v>
      </c>
      <c r="Q188" s="8"/>
      <c r="R188" s="28"/>
    </row>
    <row r="189" spans="1:18">
      <c r="A189" s="1" t="s">
        <v>326</v>
      </c>
      <c r="B189" s="6" t="s">
        <v>53</v>
      </c>
      <c r="C189" s="7">
        <v>45278</v>
      </c>
      <c r="D189" s="25">
        <f t="shared" si="4"/>
        <v>12</v>
      </c>
      <c r="E189" s="25">
        <f t="shared" si="5"/>
        <v>2023</v>
      </c>
      <c r="F189" s="7" t="s">
        <v>102</v>
      </c>
      <c r="G189" s="4" t="s">
        <v>111</v>
      </c>
      <c r="H189" s="4" t="s">
        <v>117</v>
      </c>
      <c r="I189" s="9">
        <v>9950</v>
      </c>
      <c r="J189" s="9" t="s">
        <v>126</v>
      </c>
      <c r="K189" s="8">
        <v>45279</v>
      </c>
      <c r="L189" s="21">
        <v>9950</v>
      </c>
      <c r="M189" s="8"/>
      <c r="N189" s="21"/>
      <c r="O189" s="8"/>
      <c r="P189" s="21"/>
      <c r="Q189" s="8"/>
      <c r="R189" s="28"/>
    </row>
    <row r="190" spans="1:18">
      <c r="A190" s="1" t="s">
        <v>327</v>
      </c>
      <c r="B190" s="6" t="s">
        <v>28</v>
      </c>
      <c r="C190" s="7">
        <v>45366</v>
      </c>
      <c r="D190" s="25">
        <f t="shared" si="4"/>
        <v>3</v>
      </c>
      <c r="E190" s="25">
        <f t="shared" si="5"/>
        <v>2024</v>
      </c>
      <c r="F190" s="7" t="s">
        <v>77</v>
      </c>
      <c r="G190" s="4" t="s">
        <v>110</v>
      </c>
      <c r="H190" s="4" t="s">
        <v>114</v>
      </c>
      <c r="I190" s="9">
        <v>-5802</v>
      </c>
      <c r="J190" s="9" t="s">
        <v>126</v>
      </c>
      <c r="K190" s="8">
        <v>45367</v>
      </c>
      <c r="L190" s="21">
        <v>-5802</v>
      </c>
      <c r="M190" s="8"/>
      <c r="N190" s="21"/>
      <c r="O190" s="8"/>
      <c r="P190" s="21"/>
      <c r="Q190" s="8"/>
      <c r="R190" s="28"/>
    </row>
    <row r="191" spans="1:18">
      <c r="A191" s="1" t="s">
        <v>328</v>
      </c>
      <c r="B191" s="6" t="s">
        <v>47</v>
      </c>
      <c r="C191" s="7">
        <v>45370</v>
      </c>
      <c r="D191" s="25">
        <f t="shared" si="4"/>
        <v>3</v>
      </c>
      <c r="E191" s="25">
        <f t="shared" si="5"/>
        <v>2024</v>
      </c>
      <c r="F191" s="7" t="s">
        <v>96</v>
      </c>
      <c r="G191" s="4" t="s">
        <v>111</v>
      </c>
      <c r="H191" s="4" t="s">
        <v>120</v>
      </c>
      <c r="I191" s="9">
        <v>9484</v>
      </c>
      <c r="J191" s="9" t="s">
        <v>126</v>
      </c>
      <c r="K191" s="8">
        <v>45371</v>
      </c>
      <c r="L191" s="21">
        <v>9484</v>
      </c>
      <c r="M191" s="8"/>
      <c r="N191" s="21"/>
      <c r="O191" s="8"/>
      <c r="P191" s="21"/>
      <c r="Q191" s="8"/>
      <c r="R191" s="28"/>
    </row>
    <row r="192" spans="1:18">
      <c r="A192" s="1" t="s">
        <v>329</v>
      </c>
      <c r="B192" s="6" t="s">
        <v>49</v>
      </c>
      <c r="C192" s="7">
        <v>45410</v>
      </c>
      <c r="D192" s="25">
        <f t="shared" si="4"/>
        <v>4</v>
      </c>
      <c r="E192" s="25">
        <f t="shared" si="5"/>
        <v>2024</v>
      </c>
      <c r="F192" s="7" t="s">
        <v>98</v>
      </c>
      <c r="G192" s="4" t="s">
        <v>110</v>
      </c>
      <c r="H192" s="4" t="s">
        <v>125</v>
      </c>
      <c r="I192" s="9">
        <v>-2504</v>
      </c>
      <c r="J192" s="9" t="s">
        <v>136</v>
      </c>
      <c r="K192" s="8">
        <v>45411</v>
      </c>
      <c r="L192" s="21">
        <v>-626</v>
      </c>
      <c r="M192" s="8">
        <v>45440</v>
      </c>
      <c r="N192" s="21">
        <v>-626</v>
      </c>
      <c r="O192" s="8">
        <v>45455</v>
      </c>
      <c r="P192" s="21">
        <v>-626</v>
      </c>
      <c r="Q192" s="8">
        <v>45470</v>
      </c>
      <c r="R192" s="28">
        <v>-626</v>
      </c>
    </row>
    <row r="193" spans="1:18">
      <c r="A193" s="1" t="s">
        <v>330</v>
      </c>
      <c r="B193" s="6" t="s">
        <v>44</v>
      </c>
      <c r="C193" s="7">
        <v>45187</v>
      </c>
      <c r="D193" s="25">
        <f t="shared" si="4"/>
        <v>9</v>
      </c>
      <c r="E193" s="25">
        <f t="shared" si="5"/>
        <v>2023</v>
      </c>
      <c r="F193" s="7" t="s">
        <v>93</v>
      </c>
      <c r="G193" s="4" t="s">
        <v>111</v>
      </c>
      <c r="H193" s="4" t="s">
        <v>119</v>
      </c>
      <c r="I193" s="9">
        <v>8677</v>
      </c>
      <c r="J193" s="9" t="s">
        <v>137</v>
      </c>
      <c r="K193" s="8">
        <v>45188</v>
      </c>
      <c r="L193" s="21">
        <v>2892.3333333333335</v>
      </c>
      <c r="M193" s="8">
        <v>45217</v>
      </c>
      <c r="N193" s="21">
        <v>2892.3333333333335</v>
      </c>
      <c r="O193" s="8">
        <v>45232</v>
      </c>
      <c r="P193" s="21">
        <v>2892.3333333333335</v>
      </c>
      <c r="Q193" s="8"/>
      <c r="R193" s="28"/>
    </row>
    <row r="194" spans="1:18">
      <c r="A194" s="1" t="s">
        <v>331</v>
      </c>
      <c r="B194" s="6" t="s">
        <v>41</v>
      </c>
      <c r="C194" s="7">
        <v>45318</v>
      </c>
      <c r="D194" s="25">
        <f t="shared" si="4"/>
        <v>1</v>
      </c>
      <c r="E194" s="25">
        <f t="shared" si="5"/>
        <v>2024</v>
      </c>
      <c r="F194" s="7" t="s">
        <v>90</v>
      </c>
      <c r="G194" s="4" t="s">
        <v>111</v>
      </c>
      <c r="H194" s="4" t="s">
        <v>118</v>
      </c>
      <c r="I194" s="9">
        <v>1893</v>
      </c>
      <c r="J194" s="9" t="s">
        <v>126</v>
      </c>
      <c r="K194" s="8">
        <v>45319</v>
      </c>
      <c r="L194" s="21">
        <v>1893</v>
      </c>
      <c r="M194" s="8"/>
      <c r="N194" s="21"/>
      <c r="O194" s="8"/>
      <c r="P194" s="21"/>
      <c r="Q194" s="8"/>
      <c r="R194" s="28"/>
    </row>
    <row r="195" spans="1:18">
      <c r="A195" s="1" t="s">
        <v>332</v>
      </c>
      <c r="B195" s="6" t="s">
        <v>18</v>
      </c>
      <c r="C195" s="7">
        <v>45417</v>
      </c>
      <c r="D195" s="25">
        <f t="shared" si="4"/>
        <v>5</v>
      </c>
      <c r="E195" s="25">
        <f t="shared" si="5"/>
        <v>2024</v>
      </c>
      <c r="F195" s="7" t="s">
        <v>67</v>
      </c>
      <c r="G195" s="4" t="s">
        <v>111</v>
      </c>
      <c r="H195" s="4" t="s">
        <v>121</v>
      </c>
      <c r="I195" s="9">
        <v>8676</v>
      </c>
      <c r="J195" s="9" t="s">
        <v>126</v>
      </c>
      <c r="K195" s="8">
        <v>45418</v>
      </c>
      <c r="L195" s="21">
        <v>8676</v>
      </c>
      <c r="M195" s="8"/>
      <c r="N195" s="21"/>
      <c r="O195" s="8"/>
      <c r="P195" s="21"/>
      <c r="Q195" s="8"/>
      <c r="R195" s="28"/>
    </row>
    <row r="196" spans="1:18">
      <c r="A196" s="1" t="s">
        <v>333</v>
      </c>
      <c r="B196" s="6" t="s">
        <v>12</v>
      </c>
      <c r="C196" s="7">
        <v>45478</v>
      </c>
      <c r="D196" s="25">
        <f t="shared" ref="D196:D259" si="6">MONTH(C196)</f>
        <v>7</v>
      </c>
      <c r="E196" s="25">
        <f t="shared" ref="E196:E259" si="7">YEAR(C196)</f>
        <v>2024</v>
      </c>
      <c r="F196" s="7" t="s">
        <v>62</v>
      </c>
      <c r="G196" s="4" t="s">
        <v>112</v>
      </c>
      <c r="H196" s="4" t="s">
        <v>122</v>
      </c>
      <c r="I196" s="9">
        <v>5431</v>
      </c>
      <c r="J196" s="9" t="s">
        <v>126</v>
      </c>
      <c r="K196" s="8">
        <v>45479</v>
      </c>
      <c r="L196" s="21">
        <v>5431</v>
      </c>
      <c r="M196" s="8"/>
      <c r="N196" s="21"/>
      <c r="O196" s="8"/>
      <c r="P196" s="21"/>
      <c r="Q196" s="8"/>
      <c r="R196" s="28"/>
    </row>
    <row r="197" spans="1:18">
      <c r="A197" s="1" t="s">
        <v>334</v>
      </c>
      <c r="B197" s="6" t="s">
        <v>39</v>
      </c>
      <c r="C197" s="7">
        <v>45145</v>
      </c>
      <c r="D197" s="25">
        <f t="shared" si="6"/>
        <v>8</v>
      </c>
      <c r="E197" s="25">
        <f t="shared" si="7"/>
        <v>2023</v>
      </c>
      <c r="F197" s="7" t="s">
        <v>88</v>
      </c>
      <c r="G197" s="4" t="s">
        <v>110</v>
      </c>
      <c r="H197" s="4" t="s">
        <v>114</v>
      </c>
      <c r="I197" s="9">
        <v>-1169</v>
      </c>
      <c r="J197" s="9" t="s">
        <v>126</v>
      </c>
      <c r="K197" s="8">
        <v>45146</v>
      </c>
      <c r="L197" s="21">
        <v>-1169</v>
      </c>
      <c r="M197" s="8"/>
      <c r="N197" s="21"/>
      <c r="O197" s="8"/>
      <c r="P197" s="21"/>
      <c r="Q197" s="8"/>
      <c r="R197" s="28"/>
    </row>
    <row r="198" spans="1:18">
      <c r="A198" s="1" t="s">
        <v>335</v>
      </c>
      <c r="B198" s="6" t="s">
        <v>53</v>
      </c>
      <c r="C198" s="7">
        <v>45477</v>
      </c>
      <c r="D198" s="25">
        <f t="shared" si="6"/>
        <v>7</v>
      </c>
      <c r="E198" s="25">
        <f t="shared" si="7"/>
        <v>2024</v>
      </c>
      <c r="F198" s="7" t="s">
        <v>102</v>
      </c>
      <c r="G198" s="4" t="s">
        <v>111</v>
      </c>
      <c r="H198" s="4" t="s">
        <v>117</v>
      </c>
      <c r="I198" s="9">
        <v>7350</v>
      </c>
      <c r="J198" s="9" t="s">
        <v>136</v>
      </c>
      <c r="K198" s="8">
        <v>45478</v>
      </c>
      <c r="L198" s="21">
        <v>1837.5</v>
      </c>
      <c r="M198" s="8">
        <v>45507</v>
      </c>
      <c r="N198" s="21">
        <v>1837.5</v>
      </c>
      <c r="O198" s="8">
        <v>45522</v>
      </c>
      <c r="P198" s="21">
        <v>1837.5</v>
      </c>
      <c r="Q198" s="8">
        <v>45537</v>
      </c>
      <c r="R198" s="28">
        <v>1837.5</v>
      </c>
    </row>
    <row r="199" spans="1:18">
      <c r="A199" s="1" t="s">
        <v>336</v>
      </c>
      <c r="B199" s="6" t="s">
        <v>34</v>
      </c>
      <c r="C199" s="7">
        <v>45342</v>
      </c>
      <c r="D199" s="25">
        <f t="shared" si="6"/>
        <v>2</v>
      </c>
      <c r="E199" s="25">
        <f t="shared" si="7"/>
        <v>2024</v>
      </c>
      <c r="F199" s="7" t="s">
        <v>83</v>
      </c>
      <c r="G199" s="4" t="s">
        <v>110</v>
      </c>
      <c r="H199" s="4" t="s">
        <v>113</v>
      </c>
      <c r="I199" s="9">
        <v>-2166</v>
      </c>
      <c r="J199" s="9" t="s">
        <v>137</v>
      </c>
      <c r="K199" s="8">
        <v>45343</v>
      </c>
      <c r="L199" s="21">
        <v>-722</v>
      </c>
      <c r="M199" s="8">
        <v>45372</v>
      </c>
      <c r="N199" s="21">
        <v>-722</v>
      </c>
      <c r="O199" s="8">
        <v>45387</v>
      </c>
      <c r="P199" s="21">
        <v>-722</v>
      </c>
      <c r="Q199" s="8"/>
      <c r="R199" s="28"/>
    </row>
    <row r="200" spans="1:18">
      <c r="A200" s="1" t="s">
        <v>337</v>
      </c>
      <c r="B200" s="6" t="s">
        <v>13</v>
      </c>
      <c r="C200" s="7">
        <v>45359</v>
      </c>
      <c r="D200" s="25">
        <f t="shared" si="6"/>
        <v>3</v>
      </c>
      <c r="E200" s="25">
        <f t="shared" si="7"/>
        <v>2024</v>
      </c>
      <c r="F200" s="7" t="s">
        <v>63</v>
      </c>
      <c r="G200" s="4" t="s">
        <v>111</v>
      </c>
      <c r="H200" s="4" t="s">
        <v>120</v>
      </c>
      <c r="I200" s="9">
        <v>6253</v>
      </c>
      <c r="J200" s="9" t="s">
        <v>126</v>
      </c>
      <c r="K200" s="8">
        <v>45360</v>
      </c>
      <c r="L200" s="21">
        <v>6253</v>
      </c>
      <c r="M200" s="8"/>
      <c r="N200" s="21"/>
      <c r="O200" s="8"/>
      <c r="P200" s="21"/>
      <c r="Q200" s="8"/>
      <c r="R200" s="28"/>
    </row>
    <row r="201" spans="1:18">
      <c r="A201" s="1" t="s">
        <v>338</v>
      </c>
      <c r="B201" s="6" t="s">
        <v>21</v>
      </c>
      <c r="C201" s="7">
        <v>45347</v>
      </c>
      <c r="D201" s="25">
        <f t="shared" si="6"/>
        <v>2</v>
      </c>
      <c r="E201" s="25">
        <f t="shared" si="7"/>
        <v>2024</v>
      </c>
      <c r="F201" s="7" t="s">
        <v>70</v>
      </c>
      <c r="G201" s="4" t="s">
        <v>110</v>
      </c>
      <c r="H201" s="4" t="s">
        <v>124</v>
      </c>
      <c r="I201" s="9">
        <v>-1990</v>
      </c>
      <c r="J201" s="9" t="s">
        <v>138</v>
      </c>
      <c r="K201" s="8">
        <v>45348</v>
      </c>
      <c r="L201" s="21">
        <v>-995</v>
      </c>
      <c r="M201" s="8">
        <v>45377</v>
      </c>
      <c r="N201" s="21">
        <v>-995</v>
      </c>
      <c r="O201" s="8"/>
      <c r="P201" s="21"/>
      <c r="Q201" s="8"/>
      <c r="R201" s="28"/>
    </row>
    <row r="202" spans="1:18">
      <c r="A202" s="1" t="s">
        <v>339</v>
      </c>
      <c r="B202" s="6" t="s">
        <v>36</v>
      </c>
      <c r="C202" s="7">
        <v>45343</v>
      </c>
      <c r="D202" s="25">
        <f t="shared" si="6"/>
        <v>2</v>
      </c>
      <c r="E202" s="25">
        <f t="shared" si="7"/>
        <v>2024</v>
      </c>
      <c r="F202" s="7" t="s">
        <v>85</v>
      </c>
      <c r="G202" s="4" t="s">
        <v>111</v>
      </c>
      <c r="H202" s="4" t="s">
        <v>120</v>
      </c>
      <c r="I202" s="9">
        <v>8804</v>
      </c>
      <c r="J202" s="9" t="s">
        <v>138</v>
      </c>
      <c r="K202" s="8">
        <v>45344</v>
      </c>
      <c r="L202" s="21">
        <v>4402</v>
      </c>
      <c r="M202" s="8">
        <v>45373</v>
      </c>
      <c r="N202" s="21">
        <v>4402</v>
      </c>
      <c r="O202" s="8"/>
      <c r="P202" s="21"/>
      <c r="Q202" s="8"/>
      <c r="R202" s="28"/>
    </row>
    <row r="203" spans="1:18">
      <c r="A203" s="1" t="s">
        <v>340</v>
      </c>
      <c r="B203" s="6" t="s">
        <v>28</v>
      </c>
      <c r="C203" s="7">
        <v>45197</v>
      </c>
      <c r="D203" s="25">
        <f t="shared" si="6"/>
        <v>9</v>
      </c>
      <c r="E203" s="25">
        <f t="shared" si="7"/>
        <v>2023</v>
      </c>
      <c r="F203" s="7" t="s">
        <v>77</v>
      </c>
      <c r="G203" s="4" t="s">
        <v>110</v>
      </c>
      <c r="H203" s="4" t="s">
        <v>114</v>
      </c>
      <c r="I203" s="9">
        <v>-3706</v>
      </c>
      <c r="J203" s="9" t="s">
        <v>137</v>
      </c>
      <c r="K203" s="8">
        <v>45198</v>
      </c>
      <c r="L203" s="21">
        <v>-1235.3333333333333</v>
      </c>
      <c r="M203" s="8">
        <v>45227</v>
      </c>
      <c r="N203" s="21">
        <v>-1235.3333333333333</v>
      </c>
      <c r="O203" s="8">
        <v>45242</v>
      </c>
      <c r="P203" s="21">
        <v>-1235.3333333333333</v>
      </c>
      <c r="Q203" s="8"/>
      <c r="R203" s="28"/>
    </row>
    <row r="204" spans="1:18">
      <c r="A204" s="1" t="s">
        <v>341</v>
      </c>
      <c r="B204" s="6" t="s">
        <v>22</v>
      </c>
      <c r="C204" s="7">
        <v>45293</v>
      </c>
      <c r="D204" s="25">
        <f t="shared" si="6"/>
        <v>1</v>
      </c>
      <c r="E204" s="25">
        <f t="shared" si="7"/>
        <v>2024</v>
      </c>
      <c r="F204" s="7" t="s">
        <v>71</v>
      </c>
      <c r="G204" s="4" t="s">
        <v>111</v>
      </c>
      <c r="H204" s="4" t="s">
        <v>119</v>
      </c>
      <c r="I204" s="9">
        <v>1276</v>
      </c>
      <c r="J204" s="9" t="s">
        <v>136</v>
      </c>
      <c r="K204" s="8">
        <v>45294</v>
      </c>
      <c r="L204" s="21">
        <v>319</v>
      </c>
      <c r="M204" s="8">
        <v>45323</v>
      </c>
      <c r="N204" s="21">
        <v>319</v>
      </c>
      <c r="O204" s="8">
        <v>45338</v>
      </c>
      <c r="P204" s="21">
        <v>319</v>
      </c>
      <c r="Q204" s="8">
        <v>45353</v>
      </c>
      <c r="R204" s="28">
        <v>319</v>
      </c>
    </row>
    <row r="205" spans="1:18">
      <c r="A205" s="1" t="s">
        <v>342</v>
      </c>
      <c r="B205" s="6" t="s">
        <v>56</v>
      </c>
      <c r="C205" s="7">
        <v>45407</v>
      </c>
      <c r="D205" s="25">
        <f t="shared" si="6"/>
        <v>4</v>
      </c>
      <c r="E205" s="25">
        <f t="shared" si="7"/>
        <v>2024</v>
      </c>
      <c r="F205" s="7" t="s">
        <v>105</v>
      </c>
      <c r="G205" s="4" t="s">
        <v>110</v>
      </c>
      <c r="H205" s="4" t="s">
        <v>113</v>
      </c>
      <c r="I205" s="9">
        <v>-1849</v>
      </c>
      <c r="J205" s="9" t="s">
        <v>138</v>
      </c>
      <c r="K205" s="8">
        <v>45408</v>
      </c>
      <c r="L205" s="21">
        <v>-924.5</v>
      </c>
      <c r="M205" s="8">
        <v>45437</v>
      </c>
      <c r="N205" s="21">
        <v>-924.5</v>
      </c>
      <c r="O205" s="8"/>
      <c r="P205" s="21"/>
      <c r="Q205" s="8"/>
      <c r="R205" s="28"/>
    </row>
    <row r="206" spans="1:18">
      <c r="A206" s="1" t="s">
        <v>343</v>
      </c>
      <c r="B206" s="6" t="s">
        <v>35</v>
      </c>
      <c r="C206" s="7">
        <v>45474</v>
      </c>
      <c r="D206" s="25">
        <f t="shared" si="6"/>
        <v>7</v>
      </c>
      <c r="E206" s="25">
        <f t="shared" si="7"/>
        <v>2024</v>
      </c>
      <c r="F206" s="7" t="s">
        <v>84</v>
      </c>
      <c r="G206" s="4" t="s">
        <v>112</v>
      </c>
      <c r="H206" s="4" t="s">
        <v>122</v>
      </c>
      <c r="I206" s="9">
        <v>7586</v>
      </c>
      <c r="J206" s="9" t="s">
        <v>126</v>
      </c>
      <c r="K206" s="8">
        <v>45475</v>
      </c>
      <c r="L206" s="21">
        <v>7586</v>
      </c>
      <c r="M206" s="8"/>
      <c r="N206" s="21"/>
      <c r="O206" s="8"/>
      <c r="P206" s="21"/>
      <c r="Q206" s="8"/>
      <c r="R206" s="28"/>
    </row>
    <row r="207" spans="1:18">
      <c r="A207" s="1" t="s">
        <v>344</v>
      </c>
      <c r="B207" s="6" t="s">
        <v>46</v>
      </c>
      <c r="C207" s="7">
        <v>45088</v>
      </c>
      <c r="D207" s="25">
        <f t="shared" si="6"/>
        <v>6</v>
      </c>
      <c r="E207" s="25">
        <f t="shared" si="7"/>
        <v>2023</v>
      </c>
      <c r="F207" s="7" t="s">
        <v>95</v>
      </c>
      <c r="G207" s="4" t="s">
        <v>112</v>
      </c>
      <c r="H207" s="4" t="s">
        <v>122</v>
      </c>
      <c r="I207" s="9">
        <v>9322</v>
      </c>
      <c r="J207" s="9" t="s">
        <v>126</v>
      </c>
      <c r="K207" s="8">
        <v>45089</v>
      </c>
      <c r="L207" s="21">
        <v>9322</v>
      </c>
      <c r="M207" s="8"/>
      <c r="N207" s="21"/>
      <c r="O207" s="8"/>
      <c r="P207" s="21"/>
      <c r="Q207" s="8"/>
      <c r="R207" s="28"/>
    </row>
    <row r="208" spans="1:18">
      <c r="A208" s="1" t="s">
        <v>345</v>
      </c>
      <c r="B208" s="6" t="s">
        <v>44</v>
      </c>
      <c r="C208" s="7">
        <v>45283</v>
      </c>
      <c r="D208" s="25">
        <f t="shared" si="6"/>
        <v>12</v>
      </c>
      <c r="E208" s="25">
        <f t="shared" si="7"/>
        <v>2023</v>
      </c>
      <c r="F208" s="7" t="s">
        <v>93</v>
      </c>
      <c r="G208" s="4" t="s">
        <v>111</v>
      </c>
      <c r="H208" s="4" t="s">
        <v>119</v>
      </c>
      <c r="I208" s="9">
        <v>2547</v>
      </c>
      <c r="J208" s="9" t="s">
        <v>137</v>
      </c>
      <c r="K208" s="8">
        <v>45284</v>
      </c>
      <c r="L208" s="21">
        <v>849</v>
      </c>
      <c r="M208" s="8">
        <v>45313</v>
      </c>
      <c r="N208" s="21">
        <v>849</v>
      </c>
      <c r="O208" s="8">
        <v>45328</v>
      </c>
      <c r="P208" s="21">
        <v>849</v>
      </c>
      <c r="Q208" s="8"/>
      <c r="R208" s="28"/>
    </row>
    <row r="209" spans="1:18">
      <c r="A209" s="1" t="s">
        <v>346</v>
      </c>
      <c r="B209" s="6" t="s">
        <v>40</v>
      </c>
      <c r="C209" s="7">
        <v>45436</v>
      </c>
      <c r="D209" s="25">
        <f t="shared" si="6"/>
        <v>5</v>
      </c>
      <c r="E209" s="25">
        <f t="shared" si="7"/>
        <v>2024</v>
      </c>
      <c r="F209" s="7" t="s">
        <v>89</v>
      </c>
      <c r="G209" s="4" t="s">
        <v>111</v>
      </c>
      <c r="H209" s="4" t="s">
        <v>121</v>
      </c>
      <c r="I209" s="9">
        <v>2105</v>
      </c>
      <c r="J209" s="9" t="s">
        <v>126</v>
      </c>
      <c r="K209" s="8">
        <v>45437</v>
      </c>
      <c r="L209" s="21">
        <v>2105</v>
      </c>
      <c r="M209" s="8"/>
      <c r="N209" s="21"/>
      <c r="O209" s="8"/>
      <c r="P209" s="21"/>
      <c r="Q209" s="8"/>
      <c r="R209" s="28"/>
    </row>
    <row r="210" spans="1:18">
      <c r="A210" s="1" t="s">
        <v>347</v>
      </c>
      <c r="B210" s="6" t="s">
        <v>18</v>
      </c>
      <c r="C210" s="7">
        <v>45160</v>
      </c>
      <c r="D210" s="25">
        <f t="shared" si="6"/>
        <v>8</v>
      </c>
      <c r="E210" s="25">
        <f t="shared" si="7"/>
        <v>2023</v>
      </c>
      <c r="F210" s="7" t="s">
        <v>67</v>
      </c>
      <c r="G210" s="4" t="s">
        <v>111</v>
      </c>
      <c r="H210" s="4" t="s">
        <v>121</v>
      </c>
      <c r="I210" s="9">
        <v>9813</v>
      </c>
      <c r="J210" s="9" t="s">
        <v>138</v>
      </c>
      <c r="K210" s="8">
        <v>45161</v>
      </c>
      <c r="L210" s="21">
        <v>4906.5</v>
      </c>
      <c r="M210" s="8">
        <v>45190</v>
      </c>
      <c r="N210" s="21">
        <v>4906.5</v>
      </c>
      <c r="O210" s="8"/>
      <c r="P210" s="21"/>
      <c r="Q210" s="8"/>
      <c r="R210" s="28"/>
    </row>
    <row r="211" spans="1:18">
      <c r="A211" s="1" t="s">
        <v>348</v>
      </c>
      <c r="B211" s="6" t="s">
        <v>50</v>
      </c>
      <c r="C211" s="7">
        <v>45391</v>
      </c>
      <c r="D211" s="25">
        <f t="shared" si="6"/>
        <v>4</v>
      </c>
      <c r="E211" s="25">
        <f t="shared" si="7"/>
        <v>2024</v>
      </c>
      <c r="F211" s="7" t="s">
        <v>99</v>
      </c>
      <c r="G211" s="4" t="s">
        <v>110</v>
      </c>
      <c r="H211" s="4" t="s">
        <v>114</v>
      </c>
      <c r="I211" s="9">
        <v>-9521</v>
      </c>
      <c r="J211" s="9" t="s">
        <v>126</v>
      </c>
      <c r="K211" s="8">
        <v>45392</v>
      </c>
      <c r="L211" s="21">
        <v>-9521</v>
      </c>
      <c r="M211" s="8"/>
      <c r="N211" s="21"/>
      <c r="O211" s="8"/>
      <c r="P211" s="21"/>
      <c r="Q211" s="8"/>
      <c r="R211" s="28"/>
    </row>
    <row r="212" spans="1:18">
      <c r="A212" s="1" t="s">
        <v>349</v>
      </c>
      <c r="B212" s="6" t="s">
        <v>36</v>
      </c>
      <c r="C212" s="7">
        <v>45371</v>
      </c>
      <c r="D212" s="25">
        <f t="shared" si="6"/>
        <v>3</v>
      </c>
      <c r="E212" s="25">
        <f t="shared" si="7"/>
        <v>2024</v>
      </c>
      <c r="F212" s="7" t="s">
        <v>85</v>
      </c>
      <c r="G212" s="4" t="s">
        <v>111</v>
      </c>
      <c r="H212" s="4" t="s">
        <v>120</v>
      </c>
      <c r="I212" s="9">
        <v>5979</v>
      </c>
      <c r="J212" s="9" t="s">
        <v>126</v>
      </c>
      <c r="K212" s="8">
        <v>45372</v>
      </c>
      <c r="L212" s="21">
        <v>5979</v>
      </c>
      <c r="M212" s="8"/>
      <c r="N212" s="21"/>
      <c r="O212" s="8"/>
      <c r="P212" s="21"/>
      <c r="Q212" s="8"/>
      <c r="R212" s="28"/>
    </row>
    <row r="213" spans="1:18">
      <c r="A213" s="1" t="s">
        <v>350</v>
      </c>
      <c r="B213" s="6" t="s">
        <v>40</v>
      </c>
      <c r="C213" s="7">
        <v>45404</v>
      </c>
      <c r="D213" s="25">
        <f t="shared" si="6"/>
        <v>4</v>
      </c>
      <c r="E213" s="25">
        <f t="shared" si="7"/>
        <v>2024</v>
      </c>
      <c r="F213" s="7" t="s">
        <v>89</v>
      </c>
      <c r="G213" s="4" t="s">
        <v>111</v>
      </c>
      <c r="H213" s="4" t="s">
        <v>121</v>
      </c>
      <c r="I213" s="9">
        <v>4704</v>
      </c>
      <c r="J213" s="9" t="s">
        <v>137</v>
      </c>
      <c r="K213" s="8">
        <v>45405</v>
      </c>
      <c r="L213" s="21">
        <v>1568</v>
      </c>
      <c r="M213" s="8">
        <v>45434</v>
      </c>
      <c r="N213" s="21">
        <v>1568</v>
      </c>
      <c r="O213" s="8">
        <v>45449</v>
      </c>
      <c r="P213" s="21">
        <v>1568</v>
      </c>
      <c r="Q213" s="8"/>
      <c r="R213" s="28"/>
    </row>
    <row r="214" spans="1:18">
      <c r="A214" s="1" t="s">
        <v>351</v>
      </c>
      <c r="B214" s="6" t="s">
        <v>28</v>
      </c>
      <c r="C214" s="7">
        <v>45141</v>
      </c>
      <c r="D214" s="25">
        <f t="shared" si="6"/>
        <v>8</v>
      </c>
      <c r="E214" s="25">
        <f t="shared" si="7"/>
        <v>2023</v>
      </c>
      <c r="F214" s="7" t="s">
        <v>77</v>
      </c>
      <c r="G214" s="4" t="s">
        <v>110</v>
      </c>
      <c r="H214" s="4" t="s">
        <v>114</v>
      </c>
      <c r="I214" s="9">
        <v>-2123</v>
      </c>
      <c r="J214" s="9" t="s">
        <v>137</v>
      </c>
      <c r="K214" s="8">
        <v>45142</v>
      </c>
      <c r="L214" s="21">
        <v>-707.66666666666663</v>
      </c>
      <c r="M214" s="8">
        <v>45171</v>
      </c>
      <c r="N214" s="21">
        <v>-707.66666666666663</v>
      </c>
      <c r="O214" s="8">
        <v>45186</v>
      </c>
      <c r="P214" s="21">
        <v>-707.66666666666663</v>
      </c>
      <c r="Q214" s="8"/>
      <c r="R214" s="28"/>
    </row>
    <row r="215" spans="1:18">
      <c r="A215" s="1" t="s">
        <v>352</v>
      </c>
      <c r="B215" s="6" t="s">
        <v>32</v>
      </c>
      <c r="C215" s="7">
        <v>45444</v>
      </c>
      <c r="D215" s="25">
        <f t="shared" si="6"/>
        <v>6</v>
      </c>
      <c r="E215" s="25">
        <f t="shared" si="7"/>
        <v>2024</v>
      </c>
      <c r="F215" s="7" t="s">
        <v>81</v>
      </c>
      <c r="G215" s="4" t="s">
        <v>110</v>
      </c>
      <c r="H215" s="4" t="s">
        <v>124</v>
      </c>
      <c r="I215" s="9">
        <v>-3341</v>
      </c>
      <c r="J215" s="9" t="s">
        <v>126</v>
      </c>
      <c r="K215" s="8">
        <v>45445</v>
      </c>
      <c r="L215" s="21">
        <v>-3341</v>
      </c>
      <c r="M215" s="8"/>
      <c r="N215" s="21"/>
      <c r="O215" s="8"/>
      <c r="P215" s="21"/>
      <c r="Q215" s="8"/>
      <c r="R215" s="28"/>
    </row>
    <row r="216" spans="1:18">
      <c r="A216" s="1" t="s">
        <v>353</v>
      </c>
      <c r="B216" s="6" t="s">
        <v>15</v>
      </c>
      <c r="C216" s="7">
        <v>45269</v>
      </c>
      <c r="D216" s="25">
        <f t="shared" si="6"/>
        <v>12</v>
      </c>
      <c r="E216" s="25">
        <f t="shared" si="7"/>
        <v>2023</v>
      </c>
      <c r="F216" s="7" t="s">
        <v>64</v>
      </c>
      <c r="G216" s="4" t="s">
        <v>112</v>
      </c>
      <c r="H216" s="4" t="s">
        <v>123</v>
      </c>
      <c r="I216" s="9">
        <v>5561</v>
      </c>
      <c r="J216" s="9" t="s">
        <v>126</v>
      </c>
      <c r="K216" s="8">
        <v>45270</v>
      </c>
      <c r="L216" s="21">
        <v>5561</v>
      </c>
      <c r="M216" s="8"/>
      <c r="N216" s="21"/>
      <c r="O216" s="8"/>
      <c r="P216" s="21"/>
      <c r="Q216" s="8"/>
      <c r="R216" s="28"/>
    </row>
    <row r="217" spans="1:18">
      <c r="A217" s="1" t="s">
        <v>354</v>
      </c>
      <c r="B217" s="6" t="s">
        <v>27</v>
      </c>
      <c r="C217" s="7">
        <v>45256</v>
      </c>
      <c r="D217" s="25">
        <f t="shared" si="6"/>
        <v>11</v>
      </c>
      <c r="E217" s="25">
        <f t="shared" si="7"/>
        <v>2023</v>
      </c>
      <c r="F217" s="7" t="s">
        <v>76</v>
      </c>
      <c r="G217" s="4" t="s">
        <v>110</v>
      </c>
      <c r="H217" s="4" t="s">
        <v>125</v>
      </c>
      <c r="I217" s="9">
        <v>-9010</v>
      </c>
      <c r="J217" s="9" t="s">
        <v>137</v>
      </c>
      <c r="K217" s="8">
        <v>45257</v>
      </c>
      <c r="L217" s="21">
        <v>-3003.3333333333335</v>
      </c>
      <c r="M217" s="8">
        <v>45286</v>
      </c>
      <c r="N217" s="21">
        <v>-3003.3333333333335</v>
      </c>
      <c r="O217" s="8">
        <v>45301</v>
      </c>
      <c r="P217" s="21">
        <v>-3003.3333333333335</v>
      </c>
      <c r="Q217" s="8"/>
      <c r="R217" s="28"/>
    </row>
    <row r="218" spans="1:18">
      <c r="A218" s="1" t="s">
        <v>355</v>
      </c>
      <c r="B218" s="6" t="s">
        <v>30</v>
      </c>
      <c r="C218" s="7">
        <v>45361</v>
      </c>
      <c r="D218" s="25">
        <f t="shared" si="6"/>
        <v>3</v>
      </c>
      <c r="E218" s="25">
        <f t="shared" si="7"/>
        <v>2024</v>
      </c>
      <c r="F218" s="7" t="s">
        <v>79</v>
      </c>
      <c r="G218" s="4" t="s">
        <v>111</v>
      </c>
      <c r="H218" s="4" t="s">
        <v>118</v>
      </c>
      <c r="I218" s="9">
        <v>9426</v>
      </c>
      <c r="J218" s="9" t="s">
        <v>138</v>
      </c>
      <c r="K218" s="8">
        <v>45362</v>
      </c>
      <c r="L218" s="21">
        <v>4713</v>
      </c>
      <c r="M218" s="8">
        <v>45391</v>
      </c>
      <c r="N218" s="21">
        <v>4713</v>
      </c>
      <c r="O218" s="8"/>
      <c r="P218" s="21"/>
      <c r="Q218" s="8"/>
      <c r="R218" s="28"/>
    </row>
    <row r="219" spans="1:18">
      <c r="A219" s="1" t="s">
        <v>356</v>
      </c>
      <c r="B219" s="6" t="s">
        <v>49</v>
      </c>
      <c r="C219" s="7">
        <v>45268</v>
      </c>
      <c r="D219" s="25">
        <f t="shared" si="6"/>
        <v>12</v>
      </c>
      <c r="E219" s="25">
        <f t="shared" si="7"/>
        <v>2023</v>
      </c>
      <c r="F219" s="7" t="s">
        <v>98</v>
      </c>
      <c r="G219" s="4" t="s">
        <v>110</v>
      </c>
      <c r="H219" s="4" t="s">
        <v>125</v>
      </c>
      <c r="I219" s="9">
        <v>-2215</v>
      </c>
      <c r="J219" s="9" t="s">
        <v>137</v>
      </c>
      <c r="K219" s="8">
        <v>45269</v>
      </c>
      <c r="L219" s="21">
        <v>-738.33333333333337</v>
      </c>
      <c r="M219" s="8">
        <v>45298</v>
      </c>
      <c r="N219" s="21">
        <v>-738.33333333333337</v>
      </c>
      <c r="O219" s="8">
        <v>45313</v>
      </c>
      <c r="P219" s="21">
        <v>-738.33333333333337</v>
      </c>
      <c r="Q219" s="8"/>
      <c r="R219" s="28"/>
    </row>
    <row r="220" spans="1:18">
      <c r="A220" s="1" t="s">
        <v>357</v>
      </c>
      <c r="B220" s="6" t="s">
        <v>39</v>
      </c>
      <c r="C220" s="7">
        <v>45334</v>
      </c>
      <c r="D220" s="25">
        <f t="shared" si="6"/>
        <v>2</v>
      </c>
      <c r="E220" s="25">
        <f t="shared" si="7"/>
        <v>2024</v>
      </c>
      <c r="F220" s="7" t="s">
        <v>88</v>
      </c>
      <c r="G220" s="4" t="s">
        <v>110</v>
      </c>
      <c r="H220" s="4" t="s">
        <v>114</v>
      </c>
      <c r="I220" s="9">
        <v>-3173</v>
      </c>
      <c r="J220" s="9" t="s">
        <v>138</v>
      </c>
      <c r="K220" s="8">
        <v>45335</v>
      </c>
      <c r="L220" s="21">
        <v>-1586.5</v>
      </c>
      <c r="M220" s="8">
        <v>45364</v>
      </c>
      <c r="N220" s="21">
        <v>-1586.5</v>
      </c>
      <c r="O220" s="8"/>
      <c r="P220" s="21"/>
      <c r="Q220" s="8"/>
      <c r="R220" s="28"/>
    </row>
    <row r="221" spans="1:18">
      <c r="A221" s="1" t="s">
        <v>358</v>
      </c>
      <c r="B221" s="6" t="s">
        <v>45</v>
      </c>
      <c r="C221" s="7">
        <v>45498</v>
      </c>
      <c r="D221" s="25">
        <f t="shared" si="6"/>
        <v>7</v>
      </c>
      <c r="E221" s="25">
        <f t="shared" si="7"/>
        <v>2024</v>
      </c>
      <c r="F221" s="7" t="s">
        <v>94</v>
      </c>
      <c r="G221" s="4" t="s">
        <v>110</v>
      </c>
      <c r="H221" s="4" t="s">
        <v>113</v>
      </c>
      <c r="I221" s="9">
        <v>-6591</v>
      </c>
      <c r="J221" s="9" t="s">
        <v>126</v>
      </c>
      <c r="K221" s="8">
        <v>45499</v>
      </c>
      <c r="L221" s="21">
        <v>-6591</v>
      </c>
      <c r="M221" s="8"/>
      <c r="N221" s="21"/>
      <c r="O221" s="8"/>
      <c r="P221" s="21"/>
      <c r="Q221" s="8"/>
      <c r="R221" s="28"/>
    </row>
    <row r="222" spans="1:18">
      <c r="A222" s="1" t="s">
        <v>359</v>
      </c>
      <c r="B222" s="6" t="s">
        <v>15</v>
      </c>
      <c r="C222" s="7">
        <v>45517</v>
      </c>
      <c r="D222" s="25">
        <f t="shared" si="6"/>
        <v>8</v>
      </c>
      <c r="E222" s="25">
        <f t="shared" si="7"/>
        <v>2024</v>
      </c>
      <c r="F222" s="7" t="s">
        <v>64</v>
      </c>
      <c r="G222" s="4" t="s">
        <v>112</v>
      </c>
      <c r="H222" s="4" t="s">
        <v>123</v>
      </c>
      <c r="I222" s="9">
        <v>9169</v>
      </c>
      <c r="J222" s="9" t="s">
        <v>126</v>
      </c>
      <c r="K222" s="8">
        <v>45518</v>
      </c>
      <c r="L222" s="21">
        <v>9169</v>
      </c>
      <c r="M222" s="8"/>
      <c r="N222" s="21"/>
      <c r="O222" s="8"/>
      <c r="P222" s="21"/>
      <c r="Q222" s="8"/>
      <c r="R222" s="28"/>
    </row>
    <row r="223" spans="1:18">
      <c r="A223" s="1" t="s">
        <v>360</v>
      </c>
      <c r="B223" s="6" t="s">
        <v>18</v>
      </c>
      <c r="C223" s="7">
        <v>45380</v>
      </c>
      <c r="D223" s="25">
        <f t="shared" si="6"/>
        <v>3</v>
      </c>
      <c r="E223" s="25">
        <f t="shared" si="7"/>
        <v>2024</v>
      </c>
      <c r="F223" s="7" t="s">
        <v>67</v>
      </c>
      <c r="G223" s="4" t="s">
        <v>111</v>
      </c>
      <c r="H223" s="4" t="s">
        <v>121</v>
      </c>
      <c r="I223" s="9">
        <v>6193</v>
      </c>
      <c r="J223" s="9" t="s">
        <v>138</v>
      </c>
      <c r="K223" s="8">
        <v>45381</v>
      </c>
      <c r="L223" s="21">
        <v>3096.5</v>
      </c>
      <c r="M223" s="8">
        <v>45410</v>
      </c>
      <c r="N223" s="21">
        <v>3096.5</v>
      </c>
      <c r="O223" s="8"/>
      <c r="P223" s="21"/>
      <c r="Q223" s="8"/>
      <c r="R223" s="28"/>
    </row>
    <row r="224" spans="1:18">
      <c r="A224" s="1" t="s">
        <v>361</v>
      </c>
      <c r="B224" s="6" t="s">
        <v>59</v>
      </c>
      <c r="C224" s="7">
        <v>45352</v>
      </c>
      <c r="D224" s="25">
        <f t="shared" si="6"/>
        <v>3</v>
      </c>
      <c r="E224" s="25">
        <f t="shared" si="7"/>
        <v>2024</v>
      </c>
      <c r="F224" s="7" t="s">
        <v>108</v>
      </c>
      <c r="G224" s="4" t="s">
        <v>111</v>
      </c>
      <c r="H224" s="4" t="s">
        <v>121</v>
      </c>
      <c r="I224" s="9">
        <v>7567</v>
      </c>
      <c r="J224" s="9" t="s">
        <v>137</v>
      </c>
      <c r="K224" s="8">
        <v>45353</v>
      </c>
      <c r="L224" s="21">
        <v>2522.3333333333335</v>
      </c>
      <c r="M224" s="8">
        <v>45382</v>
      </c>
      <c r="N224" s="21">
        <v>2522.3333333333335</v>
      </c>
      <c r="O224" s="8">
        <v>45397</v>
      </c>
      <c r="P224" s="21">
        <v>2522.3333333333335</v>
      </c>
      <c r="Q224" s="8"/>
      <c r="R224" s="28"/>
    </row>
    <row r="225" spans="1:18">
      <c r="A225" s="1" t="s">
        <v>362</v>
      </c>
      <c r="B225" s="6" t="s">
        <v>38</v>
      </c>
      <c r="C225" s="7">
        <v>45430</v>
      </c>
      <c r="D225" s="25">
        <f t="shared" si="6"/>
        <v>5</v>
      </c>
      <c r="E225" s="25">
        <f t="shared" si="7"/>
        <v>2024</v>
      </c>
      <c r="F225" s="7" t="s">
        <v>87</v>
      </c>
      <c r="G225" s="4" t="s">
        <v>110</v>
      </c>
      <c r="H225" s="4" t="s">
        <v>125</v>
      </c>
      <c r="I225" s="9">
        <v>-874</v>
      </c>
      <c r="J225" s="9" t="s">
        <v>137</v>
      </c>
      <c r="K225" s="8">
        <v>45431</v>
      </c>
      <c r="L225" s="21">
        <v>-291.33333333333331</v>
      </c>
      <c r="M225" s="8">
        <v>45460</v>
      </c>
      <c r="N225" s="21">
        <v>-291.33333333333331</v>
      </c>
      <c r="O225" s="8">
        <v>45475</v>
      </c>
      <c r="P225" s="21">
        <v>-291.33333333333331</v>
      </c>
      <c r="Q225" s="8"/>
      <c r="R225" s="28"/>
    </row>
    <row r="226" spans="1:18">
      <c r="A226" s="1" t="s">
        <v>363</v>
      </c>
      <c r="B226" s="6" t="s">
        <v>45</v>
      </c>
      <c r="C226" s="7">
        <v>45441</v>
      </c>
      <c r="D226" s="25">
        <f t="shared" si="6"/>
        <v>5</v>
      </c>
      <c r="E226" s="25">
        <f t="shared" si="7"/>
        <v>2024</v>
      </c>
      <c r="F226" s="7" t="s">
        <v>94</v>
      </c>
      <c r="G226" s="4" t="s">
        <v>110</v>
      </c>
      <c r="H226" s="4" t="s">
        <v>113</v>
      </c>
      <c r="I226" s="9">
        <v>-8293</v>
      </c>
      <c r="J226" s="9" t="s">
        <v>138</v>
      </c>
      <c r="K226" s="8">
        <v>45442</v>
      </c>
      <c r="L226" s="21">
        <v>-4146.5</v>
      </c>
      <c r="M226" s="8">
        <v>45471</v>
      </c>
      <c r="N226" s="21">
        <v>-4146.5</v>
      </c>
      <c r="O226" s="8"/>
      <c r="P226" s="21"/>
      <c r="Q226" s="8"/>
      <c r="R226" s="28"/>
    </row>
    <row r="227" spans="1:18">
      <c r="A227" s="1" t="s">
        <v>364</v>
      </c>
      <c r="B227" s="6" t="s">
        <v>28</v>
      </c>
      <c r="C227" s="7">
        <v>45459</v>
      </c>
      <c r="D227" s="25">
        <f t="shared" si="6"/>
        <v>6</v>
      </c>
      <c r="E227" s="25">
        <f t="shared" si="7"/>
        <v>2024</v>
      </c>
      <c r="F227" s="7" t="s">
        <v>77</v>
      </c>
      <c r="G227" s="4" t="s">
        <v>110</v>
      </c>
      <c r="H227" s="4" t="s">
        <v>114</v>
      </c>
      <c r="I227" s="9">
        <v>-6745</v>
      </c>
      <c r="J227" s="9" t="s">
        <v>137</v>
      </c>
      <c r="K227" s="8">
        <v>45460</v>
      </c>
      <c r="L227" s="21">
        <v>-2248.3333333333335</v>
      </c>
      <c r="M227" s="8">
        <v>45489</v>
      </c>
      <c r="N227" s="21">
        <v>-2248.3333333333335</v>
      </c>
      <c r="O227" s="8">
        <v>45504</v>
      </c>
      <c r="P227" s="21">
        <v>-2248.3333333333335</v>
      </c>
      <c r="Q227" s="8"/>
      <c r="R227" s="28"/>
    </row>
    <row r="228" spans="1:18">
      <c r="A228" s="1" t="s">
        <v>365</v>
      </c>
      <c r="B228" s="6" t="s">
        <v>16</v>
      </c>
      <c r="C228" s="7">
        <v>45439</v>
      </c>
      <c r="D228" s="25">
        <f t="shared" si="6"/>
        <v>5</v>
      </c>
      <c r="E228" s="25">
        <f t="shared" si="7"/>
        <v>2024</v>
      </c>
      <c r="F228" s="7" t="s">
        <v>65</v>
      </c>
      <c r="G228" s="4" t="s">
        <v>110</v>
      </c>
      <c r="H228" s="4" t="s">
        <v>125</v>
      </c>
      <c r="I228" s="9">
        <v>-3455</v>
      </c>
      <c r="J228" s="9" t="s">
        <v>136</v>
      </c>
      <c r="K228" s="8">
        <v>45440</v>
      </c>
      <c r="L228" s="21">
        <v>-863.75</v>
      </c>
      <c r="M228" s="8">
        <v>45469</v>
      </c>
      <c r="N228" s="21">
        <v>-863.75</v>
      </c>
      <c r="O228" s="8">
        <v>45484</v>
      </c>
      <c r="P228" s="21">
        <v>-863.75</v>
      </c>
      <c r="Q228" s="8">
        <v>45499</v>
      </c>
      <c r="R228" s="28">
        <v>-863.75</v>
      </c>
    </row>
    <row r="229" spans="1:18">
      <c r="A229" s="1" t="s">
        <v>366</v>
      </c>
      <c r="B229" s="6" t="s">
        <v>47</v>
      </c>
      <c r="C229" s="7">
        <v>45211</v>
      </c>
      <c r="D229" s="25">
        <f t="shared" si="6"/>
        <v>10</v>
      </c>
      <c r="E229" s="25">
        <f t="shared" si="7"/>
        <v>2023</v>
      </c>
      <c r="F229" s="7" t="s">
        <v>96</v>
      </c>
      <c r="G229" s="4" t="s">
        <v>111</v>
      </c>
      <c r="H229" s="4" t="s">
        <v>120</v>
      </c>
      <c r="I229" s="9">
        <v>7979</v>
      </c>
      <c r="J229" s="9" t="s">
        <v>137</v>
      </c>
      <c r="K229" s="8">
        <v>45212</v>
      </c>
      <c r="L229" s="21">
        <v>2659.6666666666665</v>
      </c>
      <c r="M229" s="8">
        <v>45241</v>
      </c>
      <c r="N229" s="21">
        <v>2659.6666666666665</v>
      </c>
      <c r="O229" s="8">
        <v>45256</v>
      </c>
      <c r="P229" s="21">
        <v>2659.6666666666665</v>
      </c>
      <c r="Q229" s="8"/>
      <c r="R229" s="28"/>
    </row>
    <row r="230" spans="1:18">
      <c r="A230" s="1" t="s">
        <v>367</v>
      </c>
      <c r="B230" s="6" t="s">
        <v>20</v>
      </c>
      <c r="C230" s="7">
        <v>45106</v>
      </c>
      <c r="D230" s="25">
        <f t="shared" si="6"/>
        <v>6</v>
      </c>
      <c r="E230" s="25">
        <f t="shared" si="7"/>
        <v>2023</v>
      </c>
      <c r="F230" s="7" t="s">
        <v>69</v>
      </c>
      <c r="G230" s="4" t="s">
        <v>111</v>
      </c>
      <c r="H230" s="4" t="s">
        <v>117</v>
      </c>
      <c r="I230" s="9">
        <v>8660</v>
      </c>
      <c r="J230" s="9" t="s">
        <v>126</v>
      </c>
      <c r="K230" s="8">
        <v>45107</v>
      </c>
      <c r="L230" s="21">
        <v>8660</v>
      </c>
      <c r="M230" s="8"/>
      <c r="N230" s="21"/>
      <c r="O230" s="8"/>
      <c r="P230" s="21"/>
      <c r="Q230" s="8"/>
      <c r="R230" s="28"/>
    </row>
    <row r="231" spans="1:18">
      <c r="A231" s="1" t="s">
        <v>368</v>
      </c>
      <c r="B231" s="6" t="s">
        <v>60</v>
      </c>
      <c r="C231" s="7">
        <v>45133</v>
      </c>
      <c r="D231" s="25">
        <f t="shared" si="6"/>
        <v>7</v>
      </c>
      <c r="E231" s="25">
        <f t="shared" si="7"/>
        <v>2023</v>
      </c>
      <c r="F231" s="7" t="s">
        <v>109</v>
      </c>
      <c r="G231" s="4" t="s">
        <v>111</v>
      </c>
      <c r="H231" s="4" t="s">
        <v>118</v>
      </c>
      <c r="I231" s="9">
        <v>7962</v>
      </c>
      <c r="J231" s="9" t="s">
        <v>137</v>
      </c>
      <c r="K231" s="8">
        <v>45134</v>
      </c>
      <c r="L231" s="21">
        <v>2654</v>
      </c>
      <c r="M231" s="8">
        <v>45163</v>
      </c>
      <c r="N231" s="21">
        <v>2654</v>
      </c>
      <c r="O231" s="8">
        <v>45178</v>
      </c>
      <c r="P231" s="21">
        <v>2654</v>
      </c>
      <c r="Q231" s="8"/>
      <c r="R231" s="28"/>
    </row>
    <row r="232" spans="1:18">
      <c r="A232" s="1" t="s">
        <v>369</v>
      </c>
      <c r="B232" s="6" t="s">
        <v>58</v>
      </c>
      <c r="C232" s="7">
        <v>45148</v>
      </c>
      <c r="D232" s="25">
        <f t="shared" si="6"/>
        <v>8</v>
      </c>
      <c r="E232" s="25">
        <f t="shared" si="7"/>
        <v>2023</v>
      </c>
      <c r="F232" s="7" t="s">
        <v>107</v>
      </c>
      <c r="G232" s="4" t="s">
        <v>111</v>
      </c>
      <c r="H232" s="4" t="s">
        <v>120</v>
      </c>
      <c r="I232" s="9">
        <v>9511</v>
      </c>
      <c r="J232" s="9" t="s">
        <v>126</v>
      </c>
      <c r="K232" s="8">
        <v>45149</v>
      </c>
      <c r="L232" s="21">
        <v>9511</v>
      </c>
      <c r="M232" s="8"/>
      <c r="N232" s="21"/>
      <c r="O232" s="8"/>
      <c r="P232" s="21"/>
      <c r="Q232" s="8"/>
      <c r="R232" s="28"/>
    </row>
    <row r="233" spans="1:18">
      <c r="A233" s="1" t="s">
        <v>370</v>
      </c>
      <c r="B233" s="6" t="s">
        <v>46</v>
      </c>
      <c r="C233" s="7">
        <v>45179</v>
      </c>
      <c r="D233" s="25">
        <f t="shared" si="6"/>
        <v>9</v>
      </c>
      <c r="E233" s="25">
        <f t="shared" si="7"/>
        <v>2023</v>
      </c>
      <c r="F233" s="7" t="s">
        <v>95</v>
      </c>
      <c r="G233" s="4" t="s">
        <v>112</v>
      </c>
      <c r="H233" s="4" t="s">
        <v>122</v>
      </c>
      <c r="I233" s="9">
        <v>8511</v>
      </c>
      <c r="J233" s="9" t="s">
        <v>126</v>
      </c>
      <c r="K233" s="8">
        <v>45180</v>
      </c>
      <c r="L233" s="21">
        <v>8511</v>
      </c>
      <c r="M233" s="8"/>
      <c r="N233" s="21"/>
      <c r="O233" s="8"/>
      <c r="P233" s="21"/>
      <c r="Q233" s="8"/>
      <c r="R233" s="28"/>
    </row>
    <row r="234" spans="1:18">
      <c r="A234" s="1" t="s">
        <v>371</v>
      </c>
      <c r="B234" s="6" t="s">
        <v>19</v>
      </c>
      <c r="C234" s="7">
        <v>45436</v>
      </c>
      <c r="D234" s="25">
        <f t="shared" si="6"/>
        <v>5</v>
      </c>
      <c r="E234" s="25">
        <f t="shared" si="7"/>
        <v>2024</v>
      </c>
      <c r="F234" s="7" t="s">
        <v>68</v>
      </c>
      <c r="G234" s="4" t="s">
        <v>111</v>
      </c>
      <c r="H234" s="4" t="s">
        <v>118</v>
      </c>
      <c r="I234" s="9">
        <v>8691</v>
      </c>
      <c r="J234" s="9" t="s">
        <v>136</v>
      </c>
      <c r="K234" s="8">
        <v>45437</v>
      </c>
      <c r="L234" s="21">
        <v>2172.75</v>
      </c>
      <c r="M234" s="8">
        <v>45466</v>
      </c>
      <c r="N234" s="21">
        <v>2172.75</v>
      </c>
      <c r="O234" s="8">
        <v>45481</v>
      </c>
      <c r="P234" s="21">
        <v>2172.75</v>
      </c>
      <c r="Q234" s="8">
        <v>45496</v>
      </c>
      <c r="R234" s="28">
        <v>2172.75</v>
      </c>
    </row>
    <row r="235" spans="1:18">
      <c r="A235" s="1" t="s">
        <v>372</v>
      </c>
      <c r="B235" s="6" t="s">
        <v>31</v>
      </c>
      <c r="C235" s="7">
        <v>45356</v>
      </c>
      <c r="D235" s="25">
        <f t="shared" si="6"/>
        <v>3</v>
      </c>
      <c r="E235" s="25">
        <f t="shared" si="7"/>
        <v>2024</v>
      </c>
      <c r="F235" s="7" t="s">
        <v>80</v>
      </c>
      <c r="G235" s="4" t="s">
        <v>111</v>
      </c>
      <c r="H235" s="4" t="s">
        <v>117</v>
      </c>
      <c r="I235" s="9">
        <v>7016</v>
      </c>
      <c r="J235" s="9" t="s">
        <v>136</v>
      </c>
      <c r="K235" s="8">
        <v>45357</v>
      </c>
      <c r="L235" s="21">
        <v>1754</v>
      </c>
      <c r="M235" s="8">
        <v>45386</v>
      </c>
      <c r="N235" s="21">
        <v>1754</v>
      </c>
      <c r="O235" s="8">
        <v>45401</v>
      </c>
      <c r="P235" s="21">
        <v>1754</v>
      </c>
      <c r="Q235" s="8">
        <v>45416</v>
      </c>
      <c r="R235" s="28">
        <v>1754</v>
      </c>
    </row>
    <row r="236" spans="1:18">
      <c r="A236" s="1" t="s">
        <v>373</v>
      </c>
      <c r="B236" s="6" t="s">
        <v>58</v>
      </c>
      <c r="C236" s="7">
        <v>45115</v>
      </c>
      <c r="D236" s="25">
        <f t="shared" si="6"/>
        <v>7</v>
      </c>
      <c r="E236" s="25">
        <f t="shared" si="7"/>
        <v>2023</v>
      </c>
      <c r="F236" s="7" t="s">
        <v>107</v>
      </c>
      <c r="G236" s="4" t="s">
        <v>111</v>
      </c>
      <c r="H236" s="4" t="s">
        <v>120</v>
      </c>
      <c r="I236" s="9">
        <v>2432</v>
      </c>
      <c r="J236" s="9" t="s">
        <v>126</v>
      </c>
      <c r="K236" s="8">
        <v>45116</v>
      </c>
      <c r="L236" s="21">
        <v>2432</v>
      </c>
      <c r="M236" s="8"/>
      <c r="N236" s="21"/>
      <c r="O236" s="8"/>
      <c r="P236" s="21"/>
      <c r="Q236" s="8"/>
      <c r="R236" s="28"/>
    </row>
    <row r="237" spans="1:18">
      <c r="A237" s="1" t="s">
        <v>374</v>
      </c>
      <c r="B237" s="6" t="s">
        <v>30</v>
      </c>
      <c r="C237" s="7">
        <v>45120</v>
      </c>
      <c r="D237" s="25">
        <f t="shared" si="6"/>
        <v>7</v>
      </c>
      <c r="E237" s="25">
        <f t="shared" si="7"/>
        <v>2023</v>
      </c>
      <c r="F237" s="7" t="s">
        <v>79</v>
      </c>
      <c r="G237" s="4" t="s">
        <v>111</v>
      </c>
      <c r="H237" s="4" t="s">
        <v>118</v>
      </c>
      <c r="I237" s="9">
        <v>7988</v>
      </c>
      <c r="J237" s="9" t="s">
        <v>136</v>
      </c>
      <c r="K237" s="8">
        <v>45121</v>
      </c>
      <c r="L237" s="21">
        <v>1997</v>
      </c>
      <c r="M237" s="8">
        <v>45150</v>
      </c>
      <c r="N237" s="21">
        <v>1997</v>
      </c>
      <c r="O237" s="8">
        <v>45165</v>
      </c>
      <c r="P237" s="21">
        <v>1997</v>
      </c>
      <c r="Q237" s="8">
        <v>45180</v>
      </c>
      <c r="R237" s="28">
        <v>1997</v>
      </c>
    </row>
    <row r="238" spans="1:18">
      <c r="A238" s="1" t="s">
        <v>375</v>
      </c>
      <c r="B238" s="6" t="s">
        <v>28</v>
      </c>
      <c r="C238" s="7">
        <v>45374</v>
      </c>
      <c r="D238" s="25">
        <f t="shared" si="6"/>
        <v>3</v>
      </c>
      <c r="E238" s="25">
        <f t="shared" si="7"/>
        <v>2024</v>
      </c>
      <c r="F238" s="7" t="s">
        <v>77</v>
      </c>
      <c r="G238" s="4" t="s">
        <v>110</v>
      </c>
      <c r="H238" s="4" t="s">
        <v>114</v>
      </c>
      <c r="I238" s="9">
        <v>-5810</v>
      </c>
      <c r="J238" s="9" t="s">
        <v>137</v>
      </c>
      <c r="K238" s="8">
        <v>45375</v>
      </c>
      <c r="L238" s="21">
        <v>-1936.6666666666667</v>
      </c>
      <c r="M238" s="8">
        <v>45404</v>
      </c>
      <c r="N238" s="21">
        <v>-1936.6666666666667</v>
      </c>
      <c r="O238" s="8">
        <v>45419</v>
      </c>
      <c r="P238" s="21">
        <v>-1936.6666666666667</v>
      </c>
      <c r="Q238" s="8"/>
      <c r="R238" s="28"/>
    </row>
    <row r="239" spans="1:18">
      <c r="A239" s="1" t="s">
        <v>376</v>
      </c>
      <c r="B239" s="6" t="s">
        <v>58</v>
      </c>
      <c r="C239" s="7">
        <v>45055</v>
      </c>
      <c r="D239" s="25">
        <f t="shared" si="6"/>
        <v>5</v>
      </c>
      <c r="E239" s="25">
        <f t="shared" si="7"/>
        <v>2023</v>
      </c>
      <c r="F239" s="7" t="s">
        <v>107</v>
      </c>
      <c r="G239" s="4" t="s">
        <v>111</v>
      </c>
      <c r="H239" s="4" t="s">
        <v>120</v>
      </c>
      <c r="I239" s="9">
        <v>4750</v>
      </c>
      <c r="J239" s="9" t="s">
        <v>126</v>
      </c>
      <c r="K239" s="8">
        <v>45056</v>
      </c>
      <c r="L239" s="21">
        <v>4750</v>
      </c>
      <c r="M239" s="8"/>
      <c r="N239" s="21"/>
      <c r="O239" s="8"/>
      <c r="P239" s="21"/>
      <c r="Q239" s="8"/>
      <c r="R239" s="28"/>
    </row>
    <row r="240" spans="1:18">
      <c r="A240" s="1" t="s">
        <v>377</v>
      </c>
      <c r="B240" s="6" t="s">
        <v>54</v>
      </c>
      <c r="C240" s="7">
        <v>45167</v>
      </c>
      <c r="D240" s="25">
        <f t="shared" si="6"/>
        <v>8</v>
      </c>
      <c r="E240" s="25">
        <f t="shared" si="7"/>
        <v>2023</v>
      </c>
      <c r="F240" s="7" t="s">
        <v>103</v>
      </c>
      <c r="G240" s="4" t="s">
        <v>110</v>
      </c>
      <c r="H240" s="4" t="s">
        <v>124</v>
      </c>
      <c r="I240" s="9">
        <v>-5572</v>
      </c>
      <c r="J240" s="9" t="s">
        <v>138</v>
      </c>
      <c r="K240" s="8">
        <v>45168</v>
      </c>
      <c r="L240" s="21">
        <v>-2786</v>
      </c>
      <c r="M240" s="8">
        <v>45197</v>
      </c>
      <c r="N240" s="21">
        <v>-2786</v>
      </c>
      <c r="O240" s="8"/>
      <c r="P240" s="21"/>
      <c r="Q240" s="8"/>
      <c r="R240" s="28"/>
    </row>
    <row r="241" spans="1:18">
      <c r="A241" s="1" t="s">
        <v>378</v>
      </c>
      <c r="B241" s="6" t="s">
        <v>19</v>
      </c>
      <c r="C241" s="7">
        <v>45284</v>
      </c>
      <c r="D241" s="25">
        <f t="shared" si="6"/>
        <v>12</v>
      </c>
      <c r="E241" s="25">
        <f t="shared" si="7"/>
        <v>2023</v>
      </c>
      <c r="F241" s="7" t="s">
        <v>68</v>
      </c>
      <c r="G241" s="4" t="s">
        <v>111</v>
      </c>
      <c r="H241" s="4" t="s">
        <v>118</v>
      </c>
      <c r="I241" s="9">
        <v>2758</v>
      </c>
      <c r="J241" s="9" t="s">
        <v>138</v>
      </c>
      <c r="K241" s="8">
        <v>45285</v>
      </c>
      <c r="L241" s="21">
        <v>1379</v>
      </c>
      <c r="M241" s="8">
        <v>45314</v>
      </c>
      <c r="N241" s="21">
        <v>1379</v>
      </c>
      <c r="O241" s="8"/>
      <c r="P241" s="21"/>
      <c r="Q241" s="8"/>
      <c r="R241" s="28"/>
    </row>
    <row r="242" spans="1:18">
      <c r="A242" s="1" t="s">
        <v>379</v>
      </c>
      <c r="B242" s="6" t="s">
        <v>59</v>
      </c>
      <c r="C242" s="7">
        <v>45526</v>
      </c>
      <c r="D242" s="25">
        <f t="shared" si="6"/>
        <v>8</v>
      </c>
      <c r="E242" s="25">
        <f t="shared" si="7"/>
        <v>2024</v>
      </c>
      <c r="F242" s="7" t="s">
        <v>108</v>
      </c>
      <c r="G242" s="4" t="s">
        <v>111</v>
      </c>
      <c r="H242" s="4" t="s">
        <v>121</v>
      </c>
      <c r="I242" s="9">
        <v>5783</v>
      </c>
      <c r="J242" s="9" t="s">
        <v>137</v>
      </c>
      <c r="K242" s="8">
        <v>45527</v>
      </c>
      <c r="L242" s="21">
        <v>1927.6666666666667</v>
      </c>
      <c r="M242" s="8">
        <v>45556</v>
      </c>
      <c r="N242" s="21">
        <v>1927.6666666666667</v>
      </c>
      <c r="O242" s="8">
        <v>45571</v>
      </c>
      <c r="P242" s="21">
        <v>1927.6666666666667</v>
      </c>
      <c r="Q242" s="8"/>
      <c r="R242" s="28"/>
    </row>
    <row r="243" spans="1:18">
      <c r="A243" s="1" t="s">
        <v>380</v>
      </c>
      <c r="B243" s="6" t="s">
        <v>59</v>
      </c>
      <c r="C243" s="7">
        <v>45260</v>
      </c>
      <c r="D243" s="25">
        <f t="shared" si="6"/>
        <v>11</v>
      </c>
      <c r="E243" s="25">
        <f t="shared" si="7"/>
        <v>2023</v>
      </c>
      <c r="F243" s="7" t="s">
        <v>108</v>
      </c>
      <c r="G243" s="4" t="s">
        <v>111</v>
      </c>
      <c r="H243" s="4" t="s">
        <v>121</v>
      </c>
      <c r="I243" s="9">
        <v>1013</v>
      </c>
      <c r="J243" s="9" t="s">
        <v>126</v>
      </c>
      <c r="K243" s="8">
        <v>45261</v>
      </c>
      <c r="L243" s="21">
        <v>1013</v>
      </c>
      <c r="M243" s="8"/>
      <c r="N243" s="21"/>
      <c r="O243" s="8"/>
      <c r="P243" s="21"/>
      <c r="Q243" s="8"/>
      <c r="R243" s="28"/>
    </row>
    <row r="244" spans="1:18">
      <c r="A244" s="1" t="s">
        <v>381</v>
      </c>
      <c r="B244" s="6" t="s">
        <v>19</v>
      </c>
      <c r="C244" s="7">
        <v>45181</v>
      </c>
      <c r="D244" s="25">
        <f t="shared" si="6"/>
        <v>9</v>
      </c>
      <c r="E244" s="25">
        <f t="shared" si="7"/>
        <v>2023</v>
      </c>
      <c r="F244" s="7" t="s">
        <v>68</v>
      </c>
      <c r="G244" s="4" t="s">
        <v>111</v>
      </c>
      <c r="H244" s="4" t="s">
        <v>118</v>
      </c>
      <c r="I244" s="9">
        <v>1296</v>
      </c>
      <c r="J244" s="9" t="s">
        <v>137</v>
      </c>
      <c r="K244" s="8">
        <v>45182</v>
      </c>
      <c r="L244" s="21">
        <v>432</v>
      </c>
      <c r="M244" s="8">
        <v>45211</v>
      </c>
      <c r="N244" s="21">
        <v>432</v>
      </c>
      <c r="O244" s="8">
        <v>45226</v>
      </c>
      <c r="P244" s="21">
        <v>432</v>
      </c>
      <c r="Q244" s="8"/>
      <c r="R244" s="28"/>
    </row>
    <row r="245" spans="1:18">
      <c r="A245" s="1" t="s">
        <v>382</v>
      </c>
      <c r="B245" s="6" t="s">
        <v>59</v>
      </c>
      <c r="C245" s="7">
        <v>45133</v>
      </c>
      <c r="D245" s="25">
        <f t="shared" si="6"/>
        <v>7</v>
      </c>
      <c r="E245" s="25">
        <f t="shared" si="7"/>
        <v>2023</v>
      </c>
      <c r="F245" s="7" t="s">
        <v>108</v>
      </c>
      <c r="G245" s="4" t="s">
        <v>111</v>
      </c>
      <c r="H245" s="4" t="s">
        <v>121</v>
      </c>
      <c r="I245" s="9">
        <v>3437</v>
      </c>
      <c r="J245" s="9" t="s">
        <v>136</v>
      </c>
      <c r="K245" s="8">
        <v>45134</v>
      </c>
      <c r="L245" s="21">
        <v>859.25</v>
      </c>
      <c r="M245" s="8">
        <v>45163</v>
      </c>
      <c r="N245" s="21">
        <v>859.25</v>
      </c>
      <c r="O245" s="8">
        <v>45178</v>
      </c>
      <c r="P245" s="21">
        <v>859.25</v>
      </c>
      <c r="Q245" s="8">
        <v>45193</v>
      </c>
      <c r="R245" s="28">
        <v>859.25</v>
      </c>
    </row>
    <row r="246" spans="1:18">
      <c r="A246" s="1" t="s">
        <v>383</v>
      </c>
      <c r="B246" s="6" t="s">
        <v>23</v>
      </c>
      <c r="C246" s="7">
        <v>45348</v>
      </c>
      <c r="D246" s="25">
        <f t="shared" si="6"/>
        <v>2</v>
      </c>
      <c r="E246" s="25">
        <f t="shared" si="7"/>
        <v>2024</v>
      </c>
      <c r="F246" s="7" t="s">
        <v>72</v>
      </c>
      <c r="G246" s="4" t="s">
        <v>110</v>
      </c>
      <c r="H246" s="4" t="s">
        <v>113</v>
      </c>
      <c r="I246" s="9">
        <v>-4535</v>
      </c>
      <c r="J246" s="9" t="s">
        <v>137</v>
      </c>
      <c r="K246" s="8">
        <v>45349</v>
      </c>
      <c r="L246" s="21">
        <v>-1511.6666666666667</v>
      </c>
      <c r="M246" s="8">
        <v>45378</v>
      </c>
      <c r="N246" s="21">
        <v>-1511.6666666666667</v>
      </c>
      <c r="O246" s="8">
        <v>45393</v>
      </c>
      <c r="P246" s="21">
        <v>-1511.6666666666667</v>
      </c>
      <c r="Q246" s="8"/>
      <c r="R246" s="28"/>
    </row>
    <row r="247" spans="1:18">
      <c r="A247" s="1" t="s">
        <v>384</v>
      </c>
      <c r="B247" s="6" t="s">
        <v>23</v>
      </c>
      <c r="C247" s="7">
        <v>45090</v>
      </c>
      <c r="D247" s="25">
        <f t="shared" si="6"/>
        <v>6</v>
      </c>
      <c r="E247" s="25">
        <f t="shared" si="7"/>
        <v>2023</v>
      </c>
      <c r="F247" s="7" t="s">
        <v>72</v>
      </c>
      <c r="G247" s="4" t="s">
        <v>110</v>
      </c>
      <c r="H247" s="4" t="s">
        <v>113</v>
      </c>
      <c r="I247" s="9">
        <v>-6258</v>
      </c>
      <c r="J247" s="9" t="s">
        <v>137</v>
      </c>
      <c r="K247" s="8">
        <v>45091</v>
      </c>
      <c r="L247" s="21">
        <v>-2086</v>
      </c>
      <c r="M247" s="8">
        <v>45120</v>
      </c>
      <c r="N247" s="21">
        <v>-2086</v>
      </c>
      <c r="O247" s="8">
        <v>45135</v>
      </c>
      <c r="P247" s="21">
        <v>-2086</v>
      </c>
      <c r="Q247" s="8"/>
      <c r="R247" s="28"/>
    </row>
    <row r="248" spans="1:18">
      <c r="A248" s="1" t="s">
        <v>385</v>
      </c>
      <c r="B248" s="6" t="s">
        <v>43</v>
      </c>
      <c r="C248" s="7">
        <v>45463</v>
      </c>
      <c r="D248" s="25">
        <f t="shared" si="6"/>
        <v>6</v>
      </c>
      <c r="E248" s="25">
        <f t="shared" si="7"/>
        <v>2024</v>
      </c>
      <c r="F248" s="7" t="s">
        <v>92</v>
      </c>
      <c r="G248" s="4" t="s">
        <v>110</v>
      </c>
      <c r="H248" s="4" t="s">
        <v>124</v>
      </c>
      <c r="I248" s="9">
        <v>-9865</v>
      </c>
      <c r="J248" s="9" t="s">
        <v>137</v>
      </c>
      <c r="K248" s="8">
        <v>45464</v>
      </c>
      <c r="L248" s="21">
        <v>-3288.3333333333335</v>
      </c>
      <c r="M248" s="8">
        <v>45493</v>
      </c>
      <c r="N248" s="21">
        <v>-3288.3333333333335</v>
      </c>
      <c r="O248" s="8">
        <v>45508</v>
      </c>
      <c r="P248" s="21">
        <v>-3288.3333333333335</v>
      </c>
      <c r="Q248" s="8"/>
      <c r="R248" s="28"/>
    </row>
    <row r="249" spans="1:18">
      <c r="A249" s="1" t="s">
        <v>386</v>
      </c>
      <c r="B249" s="6" t="s">
        <v>27</v>
      </c>
      <c r="C249" s="7">
        <v>45267</v>
      </c>
      <c r="D249" s="25">
        <f t="shared" si="6"/>
        <v>12</v>
      </c>
      <c r="E249" s="25">
        <f t="shared" si="7"/>
        <v>2023</v>
      </c>
      <c r="F249" s="7" t="s">
        <v>76</v>
      </c>
      <c r="G249" s="4" t="s">
        <v>110</v>
      </c>
      <c r="H249" s="4" t="s">
        <v>125</v>
      </c>
      <c r="I249" s="9">
        <v>-3344</v>
      </c>
      <c r="J249" s="9" t="s">
        <v>138</v>
      </c>
      <c r="K249" s="8">
        <v>45268</v>
      </c>
      <c r="L249" s="21">
        <v>-1672</v>
      </c>
      <c r="M249" s="8">
        <v>45297</v>
      </c>
      <c r="N249" s="21">
        <v>-1672</v>
      </c>
      <c r="O249" s="8"/>
      <c r="P249" s="21"/>
      <c r="Q249" s="8"/>
      <c r="R249" s="28"/>
    </row>
    <row r="250" spans="1:18">
      <c r="A250" s="1" t="s">
        <v>387</v>
      </c>
      <c r="B250" s="6" t="s">
        <v>25</v>
      </c>
      <c r="C250" s="7">
        <v>45199</v>
      </c>
      <c r="D250" s="25">
        <f t="shared" si="6"/>
        <v>9</v>
      </c>
      <c r="E250" s="25">
        <f t="shared" si="7"/>
        <v>2023</v>
      </c>
      <c r="F250" s="7" t="s">
        <v>74</v>
      </c>
      <c r="G250" s="4" t="s">
        <v>111</v>
      </c>
      <c r="H250" s="4" t="s">
        <v>120</v>
      </c>
      <c r="I250" s="9">
        <v>3488</v>
      </c>
      <c r="J250" s="9" t="s">
        <v>136</v>
      </c>
      <c r="K250" s="8">
        <v>45200</v>
      </c>
      <c r="L250" s="21">
        <v>872</v>
      </c>
      <c r="M250" s="8">
        <v>45229</v>
      </c>
      <c r="N250" s="21">
        <v>872</v>
      </c>
      <c r="O250" s="8">
        <v>45244</v>
      </c>
      <c r="P250" s="21">
        <v>872</v>
      </c>
      <c r="Q250" s="8">
        <v>45259</v>
      </c>
      <c r="R250" s="28">
        <v>872</v>
      </c>
    </row>
    <row r="251" spans="1:18">
      <c r="A251" s="1" t="s">
        <v>388</v>
      </c>
      <c r="B251" s="6" t="s">
        <v>53</v>
      </c>
      <c r="C251" s="7">
        <v>45368</v>
      </c>
      <c r="D251" s="25">
        <f t="shared" si="6"/>
        <v>3</v>
      </c>
      <c r="E251" s="25">
        <f t="shared" si="7"/>
        <v>2024</v>
      </c>
      <c r="F251" s="7" t="s">
        <v>102</v>
      </c>
      <c r="G251" s="4" t="s">
        <v>111</v>
      </c>
      <c r="H251" s="4" t="s">
        <v>117</v>
      </c>
      <c r="I251" s="9">
        <v>6517</v>
      </c>
      <c r="J251" s="9" t="s">
        <v>136</v>
      </c>
      <c r="K251" s="8">
        <v>45369</v>
      </c>
      <c r="L251" s="21">
        <v>1629.25</v>
      </c>
      <c r="M251" s="8">
        <v>45398</v>
      </c>
      <c r="N251" s="21">
        <v>1629.25</v>
      </c>
      <c r="O251" s="8">
        <v>45413</v>
      </c>
      <c r="P251" s="21">
        <v>1629.25</v>
      </c>
      <c r="Q251" s="8">
        <v>45428</v>
      </c>
      <c r="R251" s="28">
        <v>1629.25</v>
      </c>
    </row>
    <row r="252" spans="1:18">
      <c r="A252" s="1" t="s">
        <v>389</v>
      </c>
      <c r="B252" s="6" t="s">
        <v>13</v>
      </c>
      <c r="C252" s="7">
        <v>45400</v>
      </c>
      <c r="D252" s="25">
        <f t="shared" si="6"/>
        <v>4</v>
      </c>
      <c r="E252" s="25">
        <f t="shared" si="7"/>
        <v>2024</v>
      </c>
      <c r="F252" s="7" t="s">
        <v>63</v>
      </c>
      <c r="G252" s="4" t="s">
        <v>111</v>
      </c>
      <c r="H252" s="4" t="s">
        <v>120</v>
      </c>
      <c r="I252" s="9">
        <v>4114</v>
      </c>
      <c r="J252" s="9" t="s">
        <v>137</v>
      </c>
      <c r="K252" s="8">
        <v>45401</v>
      </c>
      <c r="L252" s="21">
        <v>1371.3333333333333</v>
      </c>
      <c r="M252" s="8">
        <v>45430</v>
      </c>
      <c r="N252" s="21">
        <v>1371.3333333333333</v>
      </c>
      <c r="O252" s="8">
        <v>45445</v>
      </c>
      <c r="P252" s="21">
        <v>1371.3333333333333</v>
      </c>
      <c r="Q252" s="8"/>
      <c r="R252" s="28"/>
    </row>
    <row r="253" spans="1:18">
      <c r="A253" s="1" t="s">
        <v>390</v>
      </c>
      <c r="B253" s="6" t="s">
        <v>57</v>
      </c>
      <c r="C253" s="7">
        <v>45338</v>
      </c>
      <c r="D253" s="25">
        <f t="shared" si="6"/>
        <v>2</v>
      </c>
      <c r="E253" s="25">
        <f t="shared" si="7"/>
        <v>2024</v>
      </c>
      <c r="F253" s="7" t="s">
        <v>106</v>
      </c>
      <c r="G253" s="4" t="s">
        <v>112</v>
      </c>
      <c r="H253" s="4" t="s">
        <v>122</v>
      </c>
      <c r="I253" s="9">
        <v>5034</v>
      </c>
      <c r="J253" s="9" t="s">
        <v>126</v>
      </c>
      <c r="K253" s="8">
        <v>45339</v>
      </c>
      <c r="L253" s="21">
        <v>5034</v>
      </c>
      <c r="M253" s="8"/>
      <c r="N253" s="21"/>
      <c r="O253" s="8"/>
      <c r="P253" s="21"/>
      <c r="Q253" s="8"/>
      <c r="R253" s="28"/>
    </row>
    <row r="254" spans="1:18">
      <c r="A254" s="1" t="s">
        <v>391</v>
      </c>
      <c r="B254" s="6" t="s">
        <v>17</v>
      </c>
      <c r="C254" s="7">
        <v>45283</v>
      </c>
      <c r="D254" s="25">
        <f t="shared" si="6"/>
        <v>12</v>
      </c>
      <c r="E254" s="25">
        <f t="shared" si="7"/>
        <v>2023</v>
      </c>
      <c r="F254" s="7" t="s">
        <v>66</v>
      </c>
      <c r="G254" s="4" t="s">
        <v>110</v>
      </c>
      <c r="H254" s="4" t="s">
        <v>114</v>
      </c>
      <c r="I254" s="9">
        <v>-3245</v>
      </c>
      <c r="J254" s="9" t="s">
        <v>136</v>
      </c>
      <c r="K254" s="8">
        <v>45284</v>
      </c>
      <c r="L254" s="21">
        <v>-811.25</v>
      </c>
      <c r="M254" s="8">
        <v>45313</v>
      </c>
      <c r="N254" s="21">
        <v>-811.25</v>
      </c>
      <c r="O254" s="8">
        <v>45328</v>
      </c>
      <c r="P254" s="21">
        <v>-811.25</v>
      </c>
      <c r="Q254" s="8">
        <v>45343</v>
      </c>
      <c r="R254" s="28">
        <v>-811.25</v>
      </c>
    </row>
    <row r="255" spans="1:18">
      <c r="A255" s="1" t="s">
        <v>392</v>
      </c>
      <c r="B255" s="6" t="s">
        <v>46</v>
      </c>
      <c r="C255" s="7">
        <v>45411</v>
      </c>
      <c r="D255" s="25">
        <f t="shared" si="6"/>
        <v>4</v>
      </c>
      <c r="E255" s="25">
        <f t="shared" si="7"/>
        <v>2024</v>
      </c>
      <c r="F255" s="7" t="s">
        <v>95</v>
      </c>
      <c r="G255" s="4" t="s">
        <v>112</v>
      </c>
      <c r="H255" s="4" t="s">
        <v>122</v>
      </c>
      <c r="I255" s="9">
        <v>8733</v>
      </c>
      <c r="J255" s="9" t="s">
        <v>126</v>
      </c>
      <c r="K255" s="8">
        <v>45412</v>
      </c>
      <c r="L255" s="21">
        <v>8733</v>
      </c>
      <c r="M255" s="8"/>
      <c r="N255" s="21"/>
      <c r="O255" s="8"/>
      <c r="P255" s="21"/>
      <c r="Q255" s="8"/>
      <c r="R255" s="28"/>
    </row>
    <row r="256" spans="1:18">
      <c r="A256" s="1" t="s">
        <v>393</v>
      </c>
      <c r="B256" s="6" t="s">
        <v>30</v>
      </c>
      <c r="C256" s="7">
        <v>45292</v>
      </c>
      <c r="D256" s="25">
        <f t="shared" si="6"/>
        <v>1</v>
      </c>
      <c r="E256" s="25">
        <f t="shared" si="7"/>
        <v>2024</v>
      </c>
      <c r="F256" s="7" t="s">
        <v>79</v>
      </c>
      <c r="G256" s="4" t="s">
        <v>111</v>
      </c>
      <c r="H256" s="4" t="s">
        <v>118</v>
      </c>
      <c r="I256" s="9">
        <v>7791</v>
      </c>
      <c r="J256" s="9" t="s">
        <v>137</v>
      </c>
      <c r="K256" s="8">
        <v>45293</v>
      </c>
      <c r="L256" s="21">
        <v>2597</v>
      </c>
      <c r="M256" s="8">
        <v>45322</v>
      </c>
      <c r="N256" s="21">
        <v>2597</v>
      </c>
      <c r="O256" s="8">
        <v>45337</v>
      </c>
      <c r="P256" s="21">
        <v>2597</v>
      </c>
      <c r="Q256" s="8"/>
      <c r="R256" s="28"/>
    </row>
    <row r="257" spans="1:18">
      <c r="A257" s="1" t="s">
        <v>394</v>
      </c>
      <c r="B257" s="6" t="s">
        <v>21</v>
      </c>
      <c r="C257" s="7">
        <v>45309</v>
      </c>
      <c r="D257" s="25">
        <f t="shared" si="6"/>
        <v>1</v>
      </c>
      <c r="E257" s="25">
        <f t="shared" si="7"/>
        <v>2024</v>
      </c>
      <c r="F257" s="7" t="s">
        <v>70</v>
      </c>
      <c r="G257" s="4" t="s">
        <v>110</v>
      </c>
      <c r="H257" s="4" t="s">
        <v>124</v>
      </c>
      <c r="I257" s="9">
        <v>-7219</v>
      </c>
      <c r="J257" s="9" t="s">
        <v>137</v>
      </c>
      <c r="K257" s="8">
        <v>45310</v>
      </c>
      <c r="L257" s="21">
        <v>-2406.3333333333335</v>
      </c>
      <c r="M257" s="8">
        <v>45339</v>
      </c>
      <c r="N257" s="21">
        <v>-2406.3333333333335</v>
      </c>
      <c r="O257" s="8">
        <v>45354</v>
      </c>
      <c r="P257" s="21">
        <v>-2406.3333333333335</v>
      </c>
      <c r="Q257" s="8"/>
      <c r="R257" s="28"/>
    </row>
    <row r="258" spans="1:18">
      <c r="A258" s="1" t="s">
        <v>395</v>
      </c>
      <c r="B258" s="6" t="s">
        <v>51</v>
      </c>
      <c r="C258" s="7">
        <v>45452</v>
      </c>
      <c r="D258" s="25">
        <f t="shared" si="6"/>
        <v>6</v>
      </c>
      <c r="E258" s="25">
        <f t="shared" si="7"/>
        <v>2024</v>
      </c>
      <c r="F258" s="7" t="s">
        <v>100</v>
      </c>
      <c r="G258" s="4" t="s">
        <v>111</v>
      </c>
      <c r="H258" s="4" t="s">
        <v>121</v>
      </c>
      <c r="I258" s="9">
        <v>8725</v>
      </c>
      <c r="J258" s="9" t="s">
        <v>136</v>
      </c>
      <c r="K258" s="8">
        <v>45453</v>
      </c>
      <c r="L258" s="21">
        <v>2181.25</v>
      </c>
      <c r="M258" s="8">
        <v>45482</v>
      </c>
      <c r="N258" s="21">
        <v>2181.25</v>
      </c>
      <c r="O258" s="8">
        <v>45497</v>
      </c>
      <c r="P258" s="21">
        <v>2181.25</v>
      </c>
      <c r="Q258" s="8">
        <v>45512</v>
      </c>
      <c r="R258" s="28">
        <v>2181.25</v>
      </c>
    </row>
    <row r="259" spans="1:18">
      <c r="A259" s="1" t="s">
        <v>396</v>
      </c>
      <c r="B259" s="6" t="s">
        <v>57</v>
      </c>
      <c r="C259" s="7">
        <v>45221</v>
      </c>
      <c r="D259" s="25">
        <f t="shared" si="6"/>
        <v>10</v>
      </c>
      <c r="E259" s="25">
        <f t="shared" si="7"/>
        <v>2023</v>
      </c>
      <c r="F259" s="7" t="s">
        <v>106</v>
      </c>
      <c r="G259" s="4" t="s">
        <v>112</v>
      </c>
      <c r="H259" s="4" t="s">
        <v>122</v>
      </c>
      <c r="I259" s="9">
        <v>4117</v>
      </c>
      <c r="J259" s="9" t="s">
        <v>126</v>
      </c>
      <c r="K259" s="8">
        <v>45222</v>
      </c>
      <c r="L259" s="21">
        <v>4117</v>
      </c>
      <c r="M259" s="8"/>
      <c r="N259" s="21"/>
      <c r="O259" s="8"/>
      <c r="P259" s="21"/>
      <c r="Q259" s="8"/>
      <c r="R259" s="28"/>
    </row>
    <row r="260" spans="1:18">
      <c r="A260" s="1" t="s">
        <v>397</v>
      </c>
      <c r="B260" s="6" t="s">
        <v>16</v>
      </c>
      <c r="C260" s="7">
        <v>45224</v>
      </c>
      <c r="D260" s="25">
        <f t="shared" ref="D260:D323" si="8">MONTH(C260)</f>
        <v>10</v>
      </c>
      <c r="E260" s="25">
        <f t="shared" ref="E260:E323" si="9">YEAR(C260)</f>
        <v>2023</v>
      </c>
      <c r="F260" s="7" t="s">
        <v>65</v>
      </c>
      <c r="G260" s="4" t="s">
        <v>110</v>
      </c>
      <c r="H260" s="4" t="s">
        <v>125</v>
      </c>
      <c r="I260" s="9">
        <v>-3894</v>
      </c>
      <c r="J260" s="9" t="s">
        <v>138</v>
      </c>
      <c r="K260" s="8">
        <v>45225</v>
      </c>
      <c r="L260" s="21">
        <v>-1947</v>
      </c>
      <c r="M260" s="8">
        <v>45254</v>
      </c>
      <c r="N260" s="21">
        <v>-1947</v>
      </c>
      <c r="O260" s="8"/>
      <c r="P260" s="21"/>
      <c r="Q260" s="8"/>
      <c r="R260" s="28"/>
    </row>
    <row r="261" spans="1:18">
      <c r="A261" s="1" t="s">
        <v>398</v>
      </c>
      <c r="B261" s="6" t="s">
        <v>12</v>
      </c>
      <c r="C261" s="7">
        <v>45368</v>
      </c>
      <c r="D261" s="25">
        <f t="shared" si="8"/>
        <v>3</v>
      </c>
      <c r="E261" s="25">
        <f t="shared" si="9"/>
        <v>2024</v>
      </c>
      <c r="F261" s="7" t="s">
        <v>62</v>
      </c>
      <c r="G261" s="4" t="s">
        <v>112</v>
      </c>
      <c r="H261" s="4" t="s">
        <v>122</v>
      </c>
      <c r="I261" s="9">
        <v>8800</v>
      </c>
      <c r="J261" s="9" t="s">
        <v>126</v>
      </c>
      <c r="K261" s="8">
        <v>45369</v>
      </c>
      <c r="L261" s="21">
        <v>8800</v>
      </c>
      <c r="M261" s="8"/>
      <c r="N261" s="21"/>
      <c r="O261" s="8"/>
      <c r="P261" s="21"/>
      <c r="Q261" s="8"/>
      <c r="R261" s="28"/>
    </row>
    <row r="262" spans="1:18">
      <c r="A262" s="1" t="s">
        <v>399</v>
      </c>
      <c r="B262" s="6" t="s">
        <v>33</v>
      </c>
      <c r="C262" s="7">
        <v>45208</v>
      </c>
      <c r="D262" s="25">
        <f t="shared" si="8"/>
        <v>10</v>
      </c>
      <c r="E262" s="25">
        <f t="shared" si="9"/>
        <v>2023</v>
      </c>
      <c r="F262" s="7" t="s">
        <v>82</v>
      </c>
      <c r="G262" s="4" t="s">
        <v>111</v>
      </c>
      <c r="H262" s="4" t="s">
        <v>119</v>
      </c>
      <c r="I262" s="9">
        <v>6917</v>
      </c>
      <c r="J262" s="9" t="s">
        <v>137</v>
      </c>
      <c r="K262" s="8">
        <v>45209</v>
      </c>
      <c r="L262" s="21">
        <v>2305.6666666666665</v>
      </c>
      <c r="M262" s="8">
        <v>45238</v>
      </c>
      <c r="N262" s="21">
        <v>2305.6666666666665</v>
      </c>
      <c r="O262" s="8">
        <v>45253</v>
      </c>
      <c r="P262" s="21">
        <v>2305.6666666666665</v>
      </c>
      <c r="Q262" s="8"/>
      <c r="R262" s="28"/>
    </row>
    <row r="263" spans="1:18">
      <c r="A263" s="1" t="s">
        <v>400</v>
      </c>
      <c r="B263" s="6" t="s">
        <v>14</v>
      </c>
      <c r="C263" s="7">
        <v>45537</v>
      </c>
      <c r="D263" s="25">
        <f t="shared" si="8"/>
        <v>9</v>
      </c>
      <c r="E263" s="25">
        <f t="shared" si="9"/>
        <v>2024</v>
      </c>
      <c r="F263" s="7" t="s">
        <v>61</v>
      </c>
      <c r="G263" s="4" t="s">
        <v>110</v>
      </c>
      <c r="H263" s="4" t="s">
        <v>113</v>
      </c>
      <c r="I263" s="9">
        <v>-7098</v>
      </c>
      <c r="J263" s="9" t="s">
        <v>138</v>
      </c>
      <c r="K263" s="8">
        <v>45538</v>
      </c>
      <c r="L263" s="21">
        <v>-3549</v>
      </c>
      <c r="M263" s="8">
        <v>45567</v>
      </c>
      <c r="N263" s="21">
        <v>-3549</v>
      </c>
      <c r="O263" s="8"/>
      <c r="P263" s="21"/>
      <c r="Q263" s="8"/>
      <c r="R263" s="28"/>
    </row>
    <row r="264" spans="1:18">
      <c r="A264" s="1" t="s">
        <v>401</v>
      </c>
      <c r="B264" s="6" t="s">
        <v>21</v>
      </c>
      <c r="C264" s="7">
        <v>45395</v>
      </c>
      <c r="D264" s="25">
        <f t="shared" si="8"/>
        <v>4</v>
      </c>
      <c r="E264" s="25">
        <f t="shared" si="9"/>
        <v>2024</v>
      </c>
      <c r="F264" s="7" t="s">
        <v>70</v>
      </c>
      <c r="G264" s="4" t="s">
        <v>110</v>
      </c>
      <c r="H264" s="4" t="s">
        <v>124</v>
      </c>
      <c r="I264" s="9">
        <v>-7136</v>
      </c>
      <c r="J264" s="9" t="s">
        <v>138</v>
      </c>
      <c r="K264" s="8">
        <v>45396</v>
      </c>
      <c r="L264" s="21">
        <v>-3568</v>
      </c>
      <c r="M264" s="8">
        <v>45425</v>
      </c>
      <c r="N264" s="21">
        <v>-3568</v>
      </c>
      <c r="O264" s="8"/>
      <c r="P264" s="21"/>
      <c r="Q264" s="8"/>
      <c r="R264" s="28"/>
    </row>
    <row r="265" spans="1:18">
      <c r="A265" s="1" t="s">
        <v>402</v>
      </c>
      <c r="B265" s="6" t="s">
        <v>42</v>
      </c>
      <c r="C265" s="7">
        <v>45133</v>
      </c>
      <c r="D265" s="25">
        <f t="shared" si="8"/>
        <v>7</v>
      </c>
      <c r="E265" s="25">
        <f t="shared" si="9"/>
        <v>2023</v>
      </c>
      <c r="F265" s="7" t="s">
        <v>91</v>
      </c>
      <c r="G265" s="4" t="s">
        <v>111</v>
      </c>
      <c r="H265" s="4" t="s">
        <v>117</v>
      </c>
      <c r="I265" s="9">
        <v>9829</v>
      </c>
      <c r="J265" s="9" t="s">
        <v>136</v>
      </c>
      <c r="K265" s="8">
        <v>45134</v>
      </c>
      <c r="L265" s="21">
        <v>2457.25</v>
      </c>
      <c r="M265" s="8">
        <v>45163</v>
      </c>
      <c r="N265" s="21">
        <v>2457.25</v>
      </c>
      <c r="O265" s="8">
        <v>45178</v>
      </c>
      <c r="P265" s="21">
        <v>2457.25</v>
      </c>
      <c r="Q265" s="8">
        <v>45193</v>
      </c>
      <c r="R265" s="28">
        <v>2457.25</v>
      </c>
    </row>
    <row r="266" spans="1:18">
      <c r="A266" s="1" t="s">
        <v>403</v>
      </c>
      <c r="B266" s="6" t="s">
        <v>51</v>
      </c>
      <c r="C266" s="7">
        <v>45448</v>
      </c>
      <c r="D266" s="25">
        <f t="shared" si="8"/>
        <v>6</v>
      </c>
      <c r="E266" s="25">
        <f t="shared" si="9"/>
        <v>2024</v>
      </c>
      <c r="F266" s="7" t="s">
        <v>100</v>
      </c>
      <c r="G266" s="4" t="s">
        <v>111</v>
      </c>
      <c r="H266" s="4" t="s">
        <v>121</v>
      </c>
      <c r="I266" s="9">
        <v>3126</v>
      </c>
      <c r="J266" s="9" t="s">
        <v>126</v>
      </c>
      <c r="K266" s="8">
        <v>45449</v>
      </c>
      <c r="L266" s="21">
        <v>3126</v>
      </c>
      <c r="M266" s="8"/>
      <c r="N266" s="21"/>
      <c r="O266" s="8"/>
      <c r="P266" s="21"/>
      <c r="Q266" s="8"/>
      <c r="R266" s="28"/>
    </row>
    <row r="267" spans="1:18">
      <c r="A267" s="1" t="s">
        <v>404</v>
      </c>
      <c r="B267" s="6" t="s">
        <v>27</v>
      </c>
      <c r="C267" s="7">
        <v>45474</v>
      </c>
      <c r="D267" s="25">
        <f t="shared" si="8"/>
        <v>7</v>
      </c>
      <c r="E267" s="25">
        <f t="shared" si="9"/>
        <v>2024</v>
      </c>
      <c r="F267" s="7" t="s">
        <v>76</v>
      </c>
      <c r="G267" s="4" t="s">
        <v>110</v>
      </c>
      <c r="H267" s="4" t="s">
        <v>125</v>
      </c>
      <c r="I267" s="9">
        <v>-567</v>
      </c>
      <c r="J267" s="9" t="s">
        <v>137</v>
      </c>
      <c r="K267" s="8">
        <v>45475</v>
      </c>
      <c r="L267" s="21">
        <v>-189</v>
      </c>
      <c r="M267" s="8">
        <v>45504</v>
      </c>
      <c r="N267" s="21">
        <v>-189</v>
      </c>
      <c r="O267" s="8">
        <v>45519</v>
      </c>
      <c r="P267" s="21">
        <v>-189</v>
      </c>
      <c r="Q267" s="8"/>
      <c r="R267" s="28"/>
    </row>
    <row r="268" spans="1:18">
      <c r="A268" s="1" t="s">
        <v>405</v>
      </c>
      <c r="B268" s="6" t="s">
        <v>28</v>
      </c>
      <c r="C268" s="7">
        <v>45134</v>
      </c>
      <c r="D268" s="25">
        <f t="shared" si="8"/>
        <v>7</v>
      </c>
      <c r="E268" s="25">
        <f t="shared" si="9"/>
        <v>2023</v>
      </c>
      <c r="F268" s="7" t="s">
        <v>77</v>
      </c>
      <c r="G268" s="4" t="s">
        <v>110</v>
      </c>
      <c r="H268" s="4" t="s">
        <v>114</v>
      </c>
      <c r="I268" s="9">
        <v>-6718</v>
      </c>
      <c r="J268" s="9" t="s">
        <v>138</v>
      </c>
      <c r="K268" s="8">
        <v>45135</v>
      </c>
      <c r="L268" s="21">
        <v>-3359</v>
      </c>
      <c r="M268" s="8">
        <v>45164</v>
      </c>
      <c r="N268" s="21">
        <v>-3359</v>
      </c>
      <c r="O268" s="8"/>
      <c r="P268" s="21"/>
      <c r="Q268" s="8"/>
      <c r="R268" s="28"/>
    </row>
    <row r="269" spans="1:18">
      <c r="A269" s="1" t="s">
        <v>406</v>
      </c>
      <c r="B269" s="6" t="s">
        <v>52</v>
      </c>
      <c r="C269" s="7">
        <v>45392</v>
      </c>
      <c r="D269" s="25">
        <f t="shared" si="8"/>
        <v>4</v>
      </c>
      <c r="E269" s="25">
        <f t="shared" si="9"/>
        <v>2024</v>
      </c>
      <c r="F269" s="7" t="s">
        <v>101</v>
      </c>
      <c r="G269" s="4" t="s">
        <v>111</v>
      </c>
      <c r="H269" s="4" t="s">
        <v>118</v>
      </c>
      <c r="I269" s="9">
        <v>2248</v>
      </c>
      <c r="J269" s="9" t="s">
        <v>136</v>
      </c>
      <c r="K269" s="8">
        <v>45393</v>
      </c>
      <c r="L269" s="21">
        <v>562</v>
      </c>
      <c r="M269" s="8">
        <v>45422</v>
      </c>
      <c r="N269" s="21">
        <v>562</v>
      </c>
      <c r="O269" s="8">
        <v>45437</v>
      </c>
      <c r="P269" s="21">
        <v>562</v>
      </c>
      <c r="Q269" s="8">
        <v>45452</v>
      </c>
      <c r="R269" s="28">
        <v>562</v>
      </c>
    </row>
    <row r="270" spans="1:18">
      <c r="A270" s="1" t="s">
        <v>407</v>
      </c>
      <c r="B270" s="6" t="s">
        <v>33</v>
      </c>
      <c r="C270" s="7">
        <v>45342</v>
      </c>
      <c r="D270" s="25">
        <f t="shared" si="8"/>
        <v>2</v>
      </c>
      <c r="E270" s="25">
        <f t="shared" si="9"/>
        <v>2024</v>
      </c>
      <c r="F270" s="7" t="s">
        <v>82</v>
      </c>
      <c r="G270" s="4" t="s">
        <v>111</v>
      </c>
      <c r="H270" s="4" t="s">
        <v>119</v>
      </c>
      <c r="I270" s="9">
        <v>1279</v>
      </c>
      <c r="J270" s="9" t="s">
        <v>138</v>
      </c>
      <c r="K270" s="8">
        <v>45343</v>
      </c>
      <c r="L270" s="21">
        <v>639.5</v>
      </c>
      <c r="M270" s="8">
        <v>45372</v>
      </c>
      <c r="N270" s="21">
        <v>639.5</v>
      </c>
      <c r="O270" s="8"/>
      <c r="P270" s="21"/>
      <c r="Q270" s="8"/>
      <c r="R270" s="28"/>
    </row>
    <row r="271" spans="1:18">
      <c r="A271" s="1" t="s">
        <v>408</v>
      </c>
      <c r="B271" s="6" t="s">
        <v>46</v>
      </c>
      <c r="C271" s="7">
        <v>45206</v>
      </c>
      <c r="D271" s="25">
        <f t="shared" si="8"/>
        <v>10</v>
      </c>
      <c r="E271" s="25">
        <f t="shared" si="9"/>
        <v>2023</v>
      </c>
      <c r="F271" s="7" t="s">
        <v>95</v>
      </c>
      <c r="G271" s="4" t="s">
        <v>112</v>
      </c>
      <c r="H271" s="4" t="s">
        <v>122</v>
      </c>
      <c r="I271" s="9">
        <v>5377</v>
      </c>
      <c r="J271" s="9" t="s">
        <v>126</v>
      </c>
      <c r="K271" s="8">
        <v>45207</v>
      </c>
      <c r="L271" s="21">
        <v>5377</v>
      </c>
      <c r="M271" s="8"/>
      <c r="N271" s="21"/>
      <c r="O271" s="8"/>
      <c r="P271" s="21"/>
      <c r="Q271" s="8"/>
      <c r="R271" s="28"/>
    </row>
    <row r="272" spans="1:18">
      <c r="A272" s="1" t="s">
        <v>409</v>
      </c>
      <c r="B272" s="6" t="s">
        <v>20</v>
      </c>
      <c r="C272" s="7">
        <v>45203</v>
      </c>
      <c r="D272" s="25">
        <f t="shared" si="8"/>
        <v>10</v>
      </c>
      <c r="E272" s="25">
        <f t="shared" si="9"/>
        <v>2023</v>
      </c>
      <c r="F272" s="7" t="s">
        <v>69</v>
      </c>
      <c r="G272" s="4" t="s">
        <v>111</v>
      </c>
      <c r="H272" s="4" t="s">
        <v>117</v>
      </c>
      <c r="I272" s="9">
        <v>8289</v>
      </c>
      <c r="J272" s="9" t="s">
        <v>126</v>
      </c>
      <c r="K272" s="8">
        <v>45204</v>
      </c>
      <c r="L272" s="21">
        <v>8289</v>
      </c>
      <c r="M272" s="8"/>
      <c r="N272" s="21"/>
      <c r="O272" s="8"/>
      <c r="P272" s="21"/>
      <c r="Q272" s="8"/>
      <c r="R272" s="28"/>
    </row>
    <row r="273" spans="1:18">
      <c r="A273" s="1" t="s">
        <v>410</v>
      </c>
      <c r="B273" s="6" t="s">
        <v>33</v>
      </c>
      <c r="C273" s="7">
        <v>45168</v>
      </c>
      <c r="D273" s="25">
        <f t="shared" si="8"/>
        <v>8</v>
      </c>
      <c r="E273" s="25">
        <f t="shared" si="9"/>
        <v>2023</v>
      </c>
      <c r="F273" s="7" t="s">
        <v>82</v>
      </c>
      <c r="G273" s="4" t="s">
        <v>111</v>
      </c>
      <c r="H273" s="4" t="s">
        <v>119</v>
      </c>
      <c r="I273" s="9">
        <v>1910</v>
      </c>
      <c r="J273" s="9" t="s">
        <v>138</v>
      </c>
      <c r="K273" s="8">
        <v>45169</v>
      </c>
      <c r="L273" s="21">
        <v>955</v>
      </c>
      <c r="M273" s="8">
        <v>45198</v>
      </c>
      <c r="N273" s="21">
        <v>955</v>
      </c>
      <c r="O273" s="8"/>
      <c r="P273" s="21"/>
      <c r="Q273" s="8"/>
      <c r="R273" s="28"/>
    </row>
    <row r="274" spans="1:18">
      <c r="A274" s="1" t="s">
        <v>411</v>
      </c>
      <c r="B274" s="6" t="s">
        <v>14</v>
      </c>
      <c r="C274" s="7">
        <v>45300</v>
      </c>
      <c r="D274" s="25">
        <f t="shared" si="8"/>
        <v>1</v>
      </c>
      <c r="E274" s="25">
        <f t="shared" si="9"/>
        <v>2024</v>
      </c>
      <c r="F274" s="7" t="s">
        <v>61</v>
      </c>
      <c r="G274" s="4" t="s">
        <v>110</v>
      </c>
      <c r="H274" s="4" t="s">
        <v>113</v>
      </c>
      <c r="I274" s="9">
        <v>-5586</v>
      </c>
      <c r="J274" s="9" t="s">
        <v>138</v>
      </c>
      <c r="K274" s="8">
        <v>45301</v>
      </c>
      <c r="L274" s="21">
        <v>-2793</v>
      </c>
      <c r="M274" s="8">
        <v>45330</v>
      </c>
      <c r="N274" s="21">
        <v>-2793</v>
      </c>
      <c r="O274" s="8"/>
      <c r="P274" s="21"/>
      <c r="Q274" s="8"/>
      <c r="R274" s="28"/>
    </row>
    <row r="275" spans="1:18">
      <c r="A275" s="1" t="s">
        <v>412</v>
      </c>
      <c r="B275" s="6" t="s">
        <v>15</v>
      </c>
      <c r="C275" s="7">
        <v>45377</v>
      </c>
      <c r="D275" s="25">
        <f t="shared" si="8"/>
        <v>3</v>
      </c>
      <c r="E275" s="25">
        <f t="shared" si="9"/>
        <v>2024</v>
      </c>
      <c r="F275" s="7" t="s">
        <v>64</v>
      </c>
      <c r="G275" s="4" t="s">
        <v>112</v>
      </c>
      <c r="H275" s="4" t="s">
        <v>123</v>
      </c>
      <c r="I275" s="9">
        <v>6304</v>
      </c>
      <c r="J275" s="9" t="s">
        <v>126</v>
      </c>
      <c r="K275" s="8">
        <v>45378</v>
      </c>
      <c r="L275" s="21">
        <v>6304</v>
      </c>
      <c r="M275" s="8"/>
      <c r="N275" s="21"/>
      <c r="O275" s="8"/>
      <c r="P275" s="21"/>
      <c r="Q275" s="8"/>
      <c r="R275" s="28"/>
    </row>
    <row r="276" spans="1:18">
      <c r="A276" s="1" t="s">
        <v>413</v>
      </c>
      <c r="B276" s="6" t="s">
        <v>32</v>
      </c>
      <c r="C276" s="7">
        <v>45260</v>
      </c>
      <c r="D276" s="25">
        <f t="shared" si="8"/>
        <v>11</v>
      </c>
      <c r="E276" s="25">
        <f t="shared" si="9"/>
        <v>2023</v>
      </c>
      <c r="F276" s="7" t="s">
        <v>81</v>
      </c>
      <c r="G276" s="4" t="s">
        <v>110</v>
      </c>
      <c r="H276" s="4" t="s">
        <v>124</v>
      </c>
      <c r="I276" s="9">
        <v>-9891</v>
      </c>
      <c r="J276" s="9" t="s">
        <v>137</v>
      </c>
      <c r="K276" s="8">
        <v>45261</v>
      </c>
      <c r="L276" s="21">
        <v>-3297</v>
      </c>
      <c r="M276" s="8">
        <v>45290</v>
      </c>
      <c r="N276" s="21">
        <v>-3297</v>
      </c>
      <c r="O276" s="8">
        <v>45305</v>
      </c>
      <c r="P276" s="21">
        <v>-3297</v>
      </c>
      <c r="Q276" s="8"/>
      <c r="R276" s="28"/>
    </row>
    <row r="277" spans="1:18">
      <c r="A277" s="1" t="s">
        <v>414</v>
      </c>
      <c r="B277" s="6" t="s">
        <v>55</v>
      </c>
      <c r="C277" s="7">
        <v>45164</v>
      </c>
      <c r="D277" s="25">
        <f t="shared" si="8"/>
        <v>8</v>
      </c>
      <c r="E277" s="25">
        <f t="shared" si="9"/>
        <v>2023</v>
      </c>
      <c r="F277" s="7" t="s">
        <v>104</v>
      </c>
      <c r="G277" s="4" t="s">
        <v>111</v>
      </c>
      <c r="H277" s="4" t="s">
        <v>119</v>
      </c>
      <c r="I277" s="9">
        <v>6316</v>
      </c>
      <c r="J277" s="9" t="s">
        <v>136</v>
      </c>
      <c r="K277" s="8">
        <v>45165</v>
      </c>
      <c r="L277" s="21">
        <v>1579</v>
      </c>
      <c r="M277" s="8">
        <v>45194</v>
      </c>
      <c r="N277" s="21">
        <v>1579</v>
      </c>
      <c r="O277" s="8">
        <v>45209</v>
      </c>
      <c r="P277" s="21">
        <v>1579</v>
      </c>
      <c r="Q277" s="8">
        <v>45224</v>
      </c>
      <c r="R277" s="28">
        <v>1579</v>
      </c>
    </row>
    <row r="278" spans="1:18">
      <c r="A278" s="1" t="s">
        <v>415</v>
      </c>
      <c r="B278" s="6" t="s">
        <v>14</v>
      </c>
      <c r="C278" s="7">
        <v>45151</v>
      </c>
      <c r="D278" s="25">
        <f t="shared" si="8"/>
        <v>8</v>
      </c>
      <c r="E278" s="25">
        <f t="shared" si="9"/>
        <v>2023</v>
      </c>
      <c r="F278" s="7" t="s">
        <v>61</v>
      </c>
      <c r="G278" s="4" t="s">
        <v>110</v>
      </c>
      <c r="H278" s="4" t="s">
        <v>113</v>
      </c>
      <c r="I278" s="9">
        <v>-564</v>
      </c>
      <c r="J278" s="9" t="s">
        <v>136</v>
      </c>
      <c r="K278" s="8">
        <v>45152</v>
      </c>
      <c r="L278" s="21">
        <v>-141</v>
      </c>
      <c r="M278" s="8">
        <v>45181</v>
      </c>
      <c r="N278" s="21">
        <v>-141</v>
      </c>
      <c r="O278" s="8">
        <v>45196</v>
      </c>
      <c r="P278" s="21">
        <v>-141</v>
      </c>
      <c r="Q278" s="8">
        <v>45211</v>
      </c>
      <c r="R278" s="28">
        <v>-141</v>
      </c>
    </row>
    <row r="279" spans="1:18">
      <c r="A279" s="1" t="s">
        <v>416</v>
      </c>
      <c r="B279" s="6" t="s">
        <v>40</v>
      </c>
      <c r="C279" s="7">
        <v>45382</v>
      </c>
      <c r="D279" s="25">
        <f t="shared" si="8"/>
        <v>3</v>
      </c>
      <c r="E279" s="25">
        <f t="shared" si="9"/>
        <v>2024</v>
      </c>
      <c r="F279" s="7" t="s">
        <v>89</v>
      </c>
      <c r="G279" s="4" t="s">
        <v>111</v>
      </c>
      <c r="H279" s="4" t="s">
        <v>121</v>
      </c>
      <c r="I279" s="9">
        <v>6948</v>
      </c>
      <c r="J279" s="9" t="s">
        <v>137</v>
      </c>
      <c r="K279" s="8">
        <v>45383</v>
      </c>
      <c r="L279" s="21">
        <v>2316</v>
      </c>
      <c r="M279" s="8">
        <v>45412</v>
      </c>
      <c r="N279" s="21">
        <v>2316</v>
      </c>
      <c r="O279" s="8">
        <v>45427</v>
      </c>
      <c r="P279" s="21">
        <v>2316</v>
      </c>
      <c r="Q279" s="8"/>
      <c r="R279" s="28"/>
    </row>
    <row r="280" spans="1:18">
      <c r="A280" s="1" t="s">
        <v>237</v>
      </c>
      <c r="B280" s="6" t="s">
        <v>24</v>
      </c>
      <c r="C280" s="7">
        <v>45369</v>
      </c>
      <c r="D280" s="25">
        <f t="shared" si="8"/>
        <v>3</v>
      </c>
      <c r="E280" s="25">
        <f t="shared" si="9"/>
        <v>2024</v>
      </c>
      <c r="F280" s="7" t="s">
        <v>73</v>
      </c>
      <c r="G280" s="4" t="s">
        <v>112</v>
      </c>
      <c r="H280" s="4" t="s">
        <v>122</v>
      </c>
      <c r="I280" s="9">
        <v>1836</v>
      </c>
      <c r="J280" s="9" t="s">
        <v>126</v>
      </c>
      <c r="K280" s="8">
        <v>45370</v>
      </c>
      <c r="L280" s="21">
        <v>1836</v>
      </c>
      <c r="M280" s="8"/>
      <c r="N280" s="21"/>
      <c r="O280" s="8"/>
      <c r="P280" s="21"/>
      <c r="Q280" s="8"/>
      <c r="R280" s="28"/>
    </row>
    <row r="281" spans="1:18">
      <c r="A281" s="1" t="s">
        <v>417</v>
      </c>
      <c r="B281" s="6" t="s">
        <v>42</v>
      </c>
      <c r="C281" s="7">
        <v>45319</v>
      </c>
      <c r="D281" s="25">
        <f t="shared" si="8"/>
        <v>1</v>
      </c>
      <c r="E281" s="25">
        <f t="shared" si="9"/>
        <v>2024</v>
      </c>
      <c r="F281" s="7" t="s">
        <v>91</v>
      </c>
      <c r="G281" s="4" t="s">
        <v>111</v>
      </c>
      <c r="H281" s="4" t="s">
        <v>117</v>
      </c>
      <c r="I281" s="9">
        <v>9553</v>
      </c>
      <c r="J281" s="9" t="s">
        <v>126</v>
      </c>
      <c r="K281" s="8">
        <v>45320</v>
      </c>
      <c r="L281" s="21">
        <v>9553</v>
      </c>
      <c r="M281" s="8"/>
      <c r="N281" s="21"/>
      <c r="O281" s="8"/>
      <c r="P281" s="21"/>
      <c r="Q281" s="8"/>
      <c r="R281" s="28"/>
    </row>
    <row r="282" spans="1:18">
      <c r="A282" s="1" t="s">
        <v>418</v>
      </c>
      <c r="B282" s="6" t="s">
        <v>36</v>
      </c>
      <c r="C282" s="7">
        <v>45169</v>
      </c>
      <c r="D282" s="25">
        <f t="shared" si="8"/>
        <v>8</v>
      </c>
      <c r="E282" s="25">
        <f t="shared" si="9"/>
        <v>2023</v>
      </c>
      <c r="F282" s="7" t="s">
        <v>85</v>
      </c>
      <c r="G282" s="4" t="s">
        <v>111</v>
      </c>
      <c r="H282" s="4" t="s">
        <v>120</v>
      </c>
      <c r="I282" s="9">
        <v>7858</v>
      </c>
      <c r="J282" s="9" t="s">
        <v>138</v>
      </c>
      <c r="K282" s="8">
        <v>45170</v>
      </c>
      <c r="L282" s="21">
        <v>3929</v>
      </c>
      <c r="M282" s="8">
        <v>45199</v>
      </c>
      <c r="N282" s="21">
        <v>3929</v>
      </c>
      <c r="O282" s="8"/>
      <c r="P282" s="21"/>
      <c r="Q282" s="8"/>
      <c r="R282" s="28"/>
    </row>
    <row r="283" spans="1:18">
      <c r="A283" s="1" t="s">
        <v>419</v>
      </c>
      <c r="B283" s="6" t="s">
        <v>15</v>
      </c>
      <c r="C283" s="7">
        <v>45272</v>
      </c>
      <c r="D283" s="25">
        <f t="shared" si="8"/>
        <v>12</v>
      </c>
      <c r="E283" s="25">
        <f t="shared" si="9"/>
        <v>2023</v>
      </c>
      <c r="F283" s="7" t="s">
        <v>64</v>
      </c>
      <c r="G283" s="4" t="s">
        <v>112</v>
      </c>
      <c r="H283" s="4" t="s">
        <v>123</v>
      </c>
      <c r="I283" s="9">
        <v>1293</v>
      </c>
      <c r="J283" s="9" t="s">
        <v>126</v>
      </c>
      <c r="K283" s="8">
        <v>45273</v>
      </c>
      <c r="L283" s="21">
        <v>1293</v>
      </c>
      <c r="M283" s="8"/>
      <c r="N283" s="21"/>
      <c r="O283" s="8"/>
      <c r="P283" s="21"/>
      <c r="Q283" s="8"/>
      <c r="R283" s="28"/>
    </row>
    <row r="284" spans="1:18">
      <c r="A284" s="1" t="s">
        <v>420</v>
      </c>
      <c r="B284" s="6" t="s">
        <v>32</v>
      </c>
      <c r="C284" s="7">
        <v>45446</v>
      </c>
      <c r="D284" s="25">
        <f t="shared" si="8"/>
        <v>6</v>
      </c>
      <c r="E284" s="25">
        <f t="shared" si="9"/>
        <v>2024</v>
      </c>
      <c r="F284" s="7" t="s">
        <v>81</v>
      </c>
      <c r="G284" s="4" t="s">
        <v>110</v>
      </c>
      <c r="H284" s="4" t="s">
        <v>124</v>
      </c>
      <c r="I284" s="9">
        <v>-5598</v>
      </c>
      <c r="J284" s="9" t="s">
        <v>136</v>
      </c>
      <c r="K284" s="8">
        <v>45447</v>
      </c>
      <c r="L284" s="21">
        <v>-1399.5</v>
      </c>
      <c r="M284" s="8">
        <v>45476</v>
      </c>
      <c r="N284" s="21">
        <v>-1399.5</v>
      </c>
      <c r="O284" s="8">
        <v>45491</v>
      </c>
      <c r="P284" s="21">
        <v>-1399.5</v>
      </c>
      <c r="Q284" s="8">
        <v>45506</v>
      </c>
      <c r="R284" s="28">
        <v>-1399.5</v>
      </c>
    </row>
    <row r="285" spans="1:18">
      <c r="A285" s="1" t="s">
        <v>421</v>
      </c>
      <c r="B285" s="6" t="s">
        <v>15</v>
      </c>
      <c r="C285" s="7">
        <v>45151</v>
      </c>
      <c r="D285" s="25">
        <f t="shared" si="8"/>
        <v>8</v>
      </c>
      <c r="E285" s="25">
        <f t="shared" si="9"/>
        <v>2023</v>
      </c>
      <c r="F285" s="7" t="s">
        <v>64</v>
      </c>
      <c r="G285" s="4" t="s">
        <v>112</v>
      </c>
      <c r="H285" s="4" t="s">
        <v>123</v>
      </c>
      <c r="I285" s="9">
        <v>3434</v>
      </c>
      <c r="J285" s="9" t="s">
        <v>126</v>
      </c>
      <c r="K285" s="8">
        <v>45152</v>
      </c>
      <c r="L285" s="21">
        <v>3434</v>
      </c>
      <c r="M285" s="8"/>
      <c r="N285" s="21"/>
      <c r="O285" s="8"/>
      <c r="P285" s="21"/>
      <c r="Q285" s="8"/>
      <c r="R285" s="28"/>
    </row>
    <row r="286" spans="1:18">
      <c r="A286" s="1" t="s">
        <v>422</v>
      </c>
      <c r="B286" s="6" t="s">
        <v>18</v>
      </c>
      <c r="C286" s="7">
        <v>45166</v>
      </c>
      <c r="D286" s="25">
        <f t="shared" si="8"/>
        <v>8</v>
      </c>
      <c r="E286" s="25">
        <f t="shared" si="9"/>
        <v>2023</v>
      </c>
      <c r="F286" s="7" t="s">
        <v>67</v>
      </c>
      <c r="G286" s="4" t="s">
        <v>111</v>
      </c>
      <c r="H286" s="4" t="s">
        <v>121</v>
      </c>
      <c r="I286" s="9">
        <v>8864</v>
      </c>
      <c r="J286" s="9" t="s">
        <v>137</v>
      </c>
      <c r="K286" s="8">
        <v>45167</v>
      </c>
      <c r="L286" s="21">
        <v>2954.6666666666665</v>
      </c>
      <c r="M286" s="8">
        <v>45196</v>
      </c>
      <c r="N286" s="21">
        <v>2954.6666666666665</v>
      </c>
      <c r="O286" s="8">
        <v>45211</v>
      </c>
      <c r="P286" s="21">
        <v>2954.6666666666665</v>
      </c>
      <c r="Q286" s="8"/>
      <c r="R286" s="28"/>
    </row>
    <row r="287" spans="1:18">
      <c r="A287" s="1" t="s">
        <v>423</v>
      </c>
      <c r="B287" s="6" t="s">
        <v>41</v>
      </c>
      <c r="C287" s="7">
        <v>45135</v>
      </c>
      <c r="D287" s="25">
        <f t="shared" si="8"/>
        <v>7</v>
      </c>
      <c r="E287" s="25">
        <f t="shared" si="9"/>
        <v>2023</v>
      </c>
      <c r="F287" s="7" t="s">
        <v>90</v>
      </c>
      <c r="G287" s="4" t="s">
        <v>111</v>
      </c>
      <c r="H287" s="4" t="s">
        <v>118</v>
      </c>
      <c r="I287" s="9">
        <v>6331</v>
      </c>
      <c r="J287" s="9" t="s">
        <v>126</v>
      </c>
      <c r="K287" s="8">
        <v>45136</v>
      </c>
      <c r="L287" s="21">
        <v>6331</v>
      </c>
      <c r="M287" s="8"/>
      <c r="N287" s="21"/>
      <c r="O287" s="8"/>
      <c r="P287" s="21"/>
      <c r="Q287" s="8"/>
      <c r="R287" s="28"/>
    </row>
    <row r="288" spans="1:18">
      <c r="A288" s="1" t="s">
        <v>424</v>
      </c>
      <c r="B288" s="6" t="s">
        <v>12</v>
      </c>
      <c r="C288" s="7">
        <v>45175</v>
      </c>
      <c r="D288" s="25">
        <f t="shared" si="8"/>
        <v>9</v>
      </c>
      <c r="E288" s="25">
        <f t="shared" si="9"/>
        <v>2023</v>
      </c>
      <c r="F288" s="7" t="s">
        <v>62</v>
      </c>
      <c r="G288" s="4" t="s">
        <v>112</v>
      </c>
      <c r="H288" s="4" t="s">
        <v>122</v>
      </c>
      <c r="I288" s="9">
        <v>3309</v>
      </c>
      <c r="J288" s="9" t="s">
        <v>126</v>
      </c>
      <c r="K288" s="8">
        <v>45176</v>
      </c>
      <c r="L288" s="21">
        <v>3309</v>
      </c>
      <c r="M288" s="8"/>
      <c r="N288" s="21"/>
      <c r="O288" s="8"/>
      <c r="P288" s="21"/>
      <c r="Q288" s="8"/>
      <c r="R288" s="28"/>
    </row>
    <row r="289" spans="1:18">
      <c r="A289" s="1" t="s">
        <v>425</v>
      </c>
      <c r="B289" s="6" t="s">
        <v>56</v>
      </c>
      <c r="C289" s="7">
        <v>45117</v>
      </c>
      <c r="D289" s="25">
        <f t="shared" si="8"/>
        <v>7</v>
      </c>
      <c r="E289" s="25">
        <f t="shared" si="9"/>
        <v>2023</v>
      </c>
      <c r="F289" s="7" t="s">
        <v>105</v>
      </c>
      <c r="G289" s="4" t="s">
        <v>110</v>
      </c>
      <c r="H289" s="4" t="s">
        <v>113</v>
      </c>
      <c r="I289" s="9">
        <v>-7742</v>
      </c>
      <c r="J289" s="9" t="s">
        <v>137</v>
      </c>
      <c r="K289" s="8">
        <v>45118</v>
      </c>
      <c r="L289" s="21">
        <v>-2580.6666666666665</v>
      </c>
      <c r="M289" s="8">
        <v>45147</v>
      </c>
      <c r="N289" s="21">
        <v>-2580.6666666666665</v>
      </c>
      <c r="O289" s="8">
        <v>45162</v>
      </c>
      <c r="P289" s="21">
        <v>-2580.6666666666665</v>
      </c>
      <c r="Q289" s="8"/>
      <c r="R289" s="28"/>
    </row>
    <row r="290" spans="1:18">
      <c r="A290" s="1" t="s">
        <v>426</v>
      </c>
      <c r="B290" s="6" t="s">
        <v>56</v>
      </c>
      <c r="C290" s="7">
        <v>45051</v>
      </c>
      <c r="D290" s="25">
        <f t="shared" si="8"/>
        <v>5</v>
      </c>
      <c r="E290" s="25">
        <f t="shared" si="9"/>
        <v>2023</v>
      </c>
      <c r="F290" s="7" t="s">
        <v>105</v>
      </c>
      <c r="G290" s="4" t="s">
        <v>110</v>
      </c>
      <c r="H290" s="4" t="s">
        <v>113</v>
      </c>
      <c r="I290" s="9">
        <v>-8698</v>
      </c>
      <c r="J290" s="9" t="s">
        <v>137</v>
      </c>
      <c r="K290" s="8">
        <v>45052</v>
      </c>
      <c r="L290" s="21">
        <v>-2899.3333333333335</v>
      </c>
      <c r="M290" s="8">
        <v>45081</v>
      </c>
      <c r="N290" s="21">
        <v>-2899.3333333333335</v>
      </c>
      <c r="O290" s="8">
        <v>45096</v>
      </c>
      <c r="P290" s="21">
        <v>-2899.3333333333335</v>
      </c>
      <c r="Q290" s="8"/>
      <c r="R290" s="28"/>
    </row>
    <row r="291" spans="1:18">
      <c r="A291" s="1" t="s">
        <v>427</v>
      </c>
      <c r="B291" s="6" t="s">
        <v>58</v>
      </c>
      <c r="C291" s="7">
        <v>45153</v>
      </c>
      <c r="D291" s="25">
        <f t="shared" si="8"/>
        <v>8</v>
      </c>
      <c r="E291" s="25">
        <f t="shared" si="9"/>
        <v>2023</v>
      </c>
      <c r="F291" s="7" t="s">
        <v>107</v>
      </c>
      <c r="G291" s="4" t="s">
        <v>111</v>
      </c>
      <c r="H291" s="4" t="s">
        <v>120</v>
      </c>
      <c r="I291" s="9">
        <v>1002</v>
      </c>
      <c r="J291" s="9" t="s">
        <v>137</v>
      </c>
      <c r="K291" s="8">
        <v>45154</v>
      </c>
      <c r="L291" s="21">
        <v>334</v>
      </c>
      <c r="M291" s="8">
        <v>45183</v>
      </c>
      <c r="N291" s="21">
        <v>334</v>
      </c>
      <c r="O291" s="8">
        <v>45198</v>
      </c>
      <c r="P291" s="21">
        <v>334</v>
      </c>
      <c r="Q291" s="8"/>
      <c r="R291" s="28"/>
    </row>
    <row r="292" spans="1:18">
      <c r="A292" s="1" t="s">
        <v>428</v>
      </c>
      <c r="B292" s="6" t="s">
        <v>29</v>
      </c>
      <c r="C292" s="7">
        <v>45355</v>
      </c>
      <c r="D292" s="25">
        <f t="shared" si="8"/>
        <v>3</v>
      </c>
      <c r="E292" s="25">
        <f t="shared" si="9"/>
        <v>2024</v>
      </c>
      <c r="F292" s="7" t="s">
        <v>78</v>
      </c>
      <c r="G292" s="4" t="s">
        <v>111</v>
      </c>
      <c r="H292" s="4" t="s">
        <v>121</v>
      </c>
      <c r="I292" s="9">
        <v>5390</v>
      </c>
      <c r="J292" s="9" t="s">
        <v>126</v>
      </c>
      <c r="K292" s="8">
        <v>45356</v>
      </c>
      <c r="L292" s="21">
        <v>5390</v>
      </c>
      <c r="M292" s="8"/>
      <c r="N292" s="21"/>
      <c r="O292" s="8"/>
      <c r="P292" s="21"/>
      <c r="Q292" s="8"/>
      <c r="R292" s="28"/>
    </row>
    <row r="293" spans="1:18">
      <c r="A293" s="1" t="s">
        <v>429</v>
      </c>
      <c r="B293" s="6" t="s">
        <v>59</v>
      </c>
      <c r="C293" s="7">
        <v>45158</v>
      </c>
      <c r="D293" s="25">
        <f t="shared" si="8"/>
        <v>8</v>
      </c>
      <c r="E293" s="25">
        <f t="shared" si="9"/>
        <v>2023</v>
      </c>
      <c r="F293" s="7" t="s">
        <v>108</v>
      </c>
      <c r="G293" s="4" t="s">
        <v>111</v>
      </c>
      <c r="H293" s="4" t="s">
        <v>121</v>
      </c>
      <c r="I293" s="9">
        <v>8316</v>
      </c>
      <c r="J293" s="9" t="s">
        <v>138</v>
      </c>
      <c r="K293" s="8">
        <v>45159</v>
      </c>
      <c r="L293" s="21">
        <v>4158</v>
      </c>
      <c r="M293" s="8">
        <v>45188</v>
      </c>
      <c r="N293" s="21">
        <v>4158</v>
      </c>
      <c r="O293" s="8"/>
      <c r="P293" s="21"/>
      <c r="Q293" s="8"/>
      <c r="R293" s="28"/>
    </row>
    <row r="294" spans="1:18">
      <c r="A294" s="1" t="s">
        <v>430</v>
      </c>
      <c r="B294" s="6" t="s">
        <v>15</v>
      </c>
      <c r="C294" s="7">
        <v>45207</v>
      </c>
      <c r="D294" s="25">
        <f t="shared" si="8"/>
        <v>10</v>
      </c>
      <c r="E294" s="25">
        <f t="shared" si="9"/>
        <v>2023</v>
      </c>
      <c r="F294" s="7" t="s">
        <v>64</v>
      </c>
      <c r="G294" s="4" t="s">
        <v>112</v>
      </c>
      <c r="H294" s="4" t="s">
        <v>123</v>
      </c>
      <c r="I294" s="9">
        <v>3139</v>
      </c>
      <c r="J294" s="9" t="s">
        <v>126</v>
      </c>
      <c r="K294" s="8">
        <v>45208</v>
      </c>
      <c r="L294" s="21">
        <v>3139</v>
      </c>
      <c r="M294" s="8"/>
      <c r="N294" s="21"/>
      <c r="O294" s="8"/>
      <c r="P294" s="21"/>
      <c r="Q294" s="8"/>
      <c r="R294" s="28"/>
    </row>
    <row r="295" spans="1:18">
      <c r="A295" s="1" t="s">
        <v>431</v>
      </c>
      <c r="B295" s="6" t="s">
        <v>14</v>
      </c>
      <c r="C295" s="7">
        <v>45274</v>
      </c>
      <c r="D295" s="25">
        <f t="shared" si="8"/>
        <v>12</v>
      </c>
      <c r="E295" s="25">
        <f t="shared" si="9"/>
        <v>2023</v>
      </c>
      <c r="F295" s="7" t="s">
        <v>61</v>
      </c>
      <c r="G295" s="4" t="s">
        <v>110</v>
      </c>
      <c r="H295" s="4" t="s">
        <v>113</v>
      </c>
      <c r="I295" s="9">
        <v>-2373</v>
      </c>
      <c r="J295" s="9" t="s">
        <v>126</v>
      </c>
      <c r="K295" s="8">
        <v>45275</v>
      </c>
      <c r="L295" s="21">
        <v>-2373</v>
      </c>
      <c r="M295" s="8"/>
      <c r="N295" s="21"/>
      <c r="O295" s="8"/>
      <c r="P295" s="21"/>
      <c r="Q295" s="8"/>
      <c r="R295" s="28"/>
    </row>
    <row r="296" spans="1:18">
      <c r="A296" s="1" t="s">
        <v>432</v>
      </c>
      <c r="B296" s="6" t="s">
        <v>28</v>
      </c>
      <c r="C296" s="7">
        <v>45114</v>
      </c>
      <c r="D296" s="25">
        <f t="shared" si="8"/>
        <v>7</v>
      </c>
      <c r="E296" s="25">
        <f t="shared" si="9"/>
        <v>2023</v>
      </c>
      <c r="F296" s="7" t="s">
        <v>77</v>
      </c>
      <c r="G296" s="4" t="s">
        <v>110</v>
      </c>
      <c r="H296" s="4" t="s">
        <v>114</v>
      </c>
      <c r="I296" s="9">
        <v>-465</v>
      </c>
      <c r="J296" s="9" t="s">
        <v>136</v>
      </c>
      <c r="K296" s="8">
        <v>45115</v>
      </c>
      <c r="L296" s="21">
        <v>-116.25</v>
      </c>
      <c r="M296" s="8">
        <v>45144</v>
      </c>
      <c r="N296" s="21">
        <v>-116.25</v>
      </c>
      <c r="O296" s="8">
        <v>45159</v>
      </c>
      <c r="P296" s="21">
        <v>-116.25</v>
      </c>
      <c r="Q296" s="8">
        <v>45174</v>
      </c>
      <c r="R296" s="28">
        <v>-116.25</v>
      </c>
    </row>
    <row r="297" spans="1:18">
      <c r="A297" s="1" t="s">
        <v>433</v>
      </c>
      <c r="B297" s="6" t="s">
        <v>25</v>
      </c>
      <c r="C297" s="7">
        <v>45347</v>
      </c>
      <c r="D297" s="25">
        <f t="shared" si="8"/>
        <v>2</v>
      </c>
      <c r="E297" s="25">
        <f t="shared" si="9"/>
        <v>2024</v>
      </c>
      <c r="F297" s="7" t="s">
        <v>74</v>
      </c>
      <c r="G297" s="4" t="s">
        <v>111</v>
      </c>
      <c r="H297" s="4" t="s">
        <v>120</v>
      </c>
      <c r="I297" s="9">
        <v>3828</v>
      </c>
      <c r="J297" s="9" t="s">
        <v>136</v>
      </c>
      <c r="K297" s="8">
        <v>45348</v>
      </c>
      <c r="L297" s="21">
        <v>957</v>
      </c>
      <c r="M297" s="8">
        <v>45377</v>
      </c>
      <c r="N297" s="21">
        <v>957</v>
      </c>
      <c r="O297" s="8">
        <v>45392</v>
      </c>
      <c r="P297" s="21">
        <v>957</v>
      </c>
      <c r="Q297" s="8">
        <v>45407</v>
      </c>
      <c r="R297" s="28">
        <v>957</v>
      </c>
    </row>
    <row r="298" spans="1:18">
      <c r="A298" s="1" t="s">
        <v>434</v>
      </c>
      <c r="B298" s="6" t="s">
        <v>47</v>
      </c>
      <c r="C298" s="7">
        <v>45337</v>
      </c>
      <c r="D298" s="25">
        <f t="shared" si="8"/>
        <v>2</v>
      </c>
      <c r="E298" s="25">
        <f t="shared" si="9"/>
        <v>2024</v>
      </c>
      <c r="F298" s="7" t="s">
        <v>96</v>
      </c>
      <c r="G298" s="4" t="s">
        <v>111</v>
      </c>
      <c r="H298" s="4" t="s">
        <v>120</v>
      </c>
      <c r="I298" s="9">
        <v>3075</v>
      </c>
      <c r="J298" s="9" t="s">
        <v>126</v>
      </c>
      <c r="K298" s="8">
        <v>45338</v>
      </c>
      <c r="L298" s="21">
        <v>3075</v>
      </c>
      <c r="M298" s="8"/>
      <c r="N298" s="21"/>
      <c r="O298" s="8"/>
      <c r="P298" s="21"/>
      <c r="Q298" s="8"/>
      <c r="R298" s="28"/>
    </row>
    <row r="299" spans="1:18">
      <c r="A299" s="1" t="s">
        <v>435</v>
      </c>
      <c r="B299" s="6" t="s">
        <v>35</v>
      </c>
      <c r="C299" s="7">
        <v>45465</v>
      </c>
      <c r="D299" s="25">
        <f t="shared" si="8"/>
        <v>6</v>
      </c>
      <c r="E299" s="25">
        <f t="shared" si="9"/>
        <v>2024</v>
      </c>
      <c r="F299" s="7" t="s">
        <v>84</v>
      </c>
      <c r="G299" s="4" t="s">
        <v>112</v>
      </c>
      <c r="H299" s="4" t="s">
        <v>122</v>
      </c>
      <c r="I299" s="9">
        <v>9709</v>
      </c>
      <c r="J299" s="9" t="s">
        <v>126</v>
      </c>
      <c r="K299" s="8">
        <v>45466</v>
      </c>
      <c r="L299" s="21">
        <v>9709</v>
      </c>
      <c r="M299" s="8"/>
      <c r="N299" s="21"/>
      <c r="O299" s="8"/>
      <c r="P299" s="21"/>
      <c r="Q299" s="8"/>
      <c r="R299" s="28"/>
    </row>
    <row r="300" spans="1:18">
      <c r="A300" s="1" t="s">
        <v>436</v>
      </c>
      <c r="B300" s="6" t="s">
        <v>58</v>
      </c>
      <c r="C300" s="7">
        <v>45142</v>
      </c>
      <c r="D300" s="25">
        <f t="shared" si="8"/>
        <v>8</v>
      </c>
      <c r="E300" s="25">
        <f t="shared" si="9"/>
        <v>2023</v>
      </c>
      <c r="F300" s="7" t="s">
        <v>107</v>
      </c>
      <c r="G300" s="4" t="s">
        <v>111</v>
      </c>
      <c r="H300" s="4" t="s">
        <v>120</v>
      </c>
      <c r="I300" s="9">
        <v>6635</v>
      </c>
      <c r="J300" s="9" t="s">
        <v>136</v>
      </c>
      <c r="K300" s="8">
        <v>45143</v>
      </c>
      <c r="L300" s="21">
        <v>1658.75</v>
      </c>
      <c r="M300" s="8">
        <v>45172</v>
      </c>
      <c r="N300" s="21">
        <v>1658.75</v>
      </c>
      <c r="O300" s="8">
        <v>45187</v>
      </c>
      <c r="P300" s="21">
        <v>1658.75</v>
      </c>
      <c r="Q300" s="8">
        <v>45202</v>
      </c>
      <c r="R300" s="28">
        <v>1658.75</v>
      </c>
    </row>
    <row r="301" spans="1:18">
      <c r="A301" s="1" t="s">
        <v>437</v>
      </c>
      <c r="B301" s="6" t="s">
        <v>17</v>
      </c>
      <c r="C301" s="7">
        <v>45204</v>
      </c>
      <c r="D301" s="25">
        <f t="shared" si="8"/>
        <v>10</v>
      </c>
      <c r="E301" s="25">
        <f t="shared" si="9"/>
        <v>2023</v>
      </c>
      <c r="F301" s="7" t="s">
        <v>66</v>
      </c>
      <c r="G301" s="4" t="s">
        <v>110</v>
      </c>
      <c r="H301" s="4" t="s">
        <v>114</v>
      </c>
      <c r="I301" s="9">
        <v>-3765</v>
      </c>
      <c r="J301" s="9" t="s">
        <v>137</v>
      </c>
      <c r="K301" s="8">
        <v>45205</v>
      </c>
      <c r="L301" s="21">
        <v>-1255</v>
      </c>
      <c r="M301" s="8">
        <v>45234</v>
      </c>
      <c r="N301" s="21">
        <v>-1255</v>
      </c>
      <c r="O301" s="8">
        <v>45249</v>
      </c>
      <c r="P301" s="21">
        <v>-1255</v>
      </c>
      <c r="Q301" s="8"/>
      <c r="R301" s="28"/>
    </row>
    <row r="302" spans="1:18">
      <c r="A302" s="1" t="s">
        <v>438</v>
      </c>
      <c r="B302" s="6" t="s">
        <v>31</v>
      </c>
      <c r="C302" s="7">
        <v>45339</v>
      </c>
      <c r="D302" s="25">
        <f t="shared" si="8"/>
        <v>2</v>
      </c>
      <c r="E302" s="25">
        <f t="shared" si="9"/>
        <v>2024</v>
      </c>
      <c r="F302" s="7" t="s">
        <v>80</v>
      </c>
      <c r="G302" s="4" t="s">
        <v>111</v>
      </c>
      <c r="H302" s="4" t="s">
        <v>117</v>
      </c>
      <c r="I302" s="9">
        <v>4503</v>
      </c>
      <c r="J302" s="9" t="s">
        <v>126</v>
      </c>
      <c r="K302" s="8">
        <v>45340</v>
      </c>
      <c r="L302" s="21">
        <v>4503</v>
      </c>
      <c r="M302" s="8"/>
      <c r="N302" s="21"/>
      <c r="O302" s="8"/>
      <c r="P302" s="21"/>
      <c r="Q302" s="8"/>
      <c r="R302" s="28"/>
    </row>
    <row r="303" spans="1:18">
      <c r="A303" s="1" t="s">
        <v>439</v>
      </c>
      <c r="B303" s="6" t="s">
        <v>55</v>
      </c>
      <c r="C303" s="7">
        <v>45448</v>
      </c>
      <c r="D303" s="25">
        <f t="shared" si="8"/>
        <v>6</v>
      </c>
      <c r="E303" s="25">
        <f t="shared" si="9"/>
        <v>2024</v>
      </c>
      <c r="F303" s="7" t="s">
        <v>104</v>
      </c>
      <c r="G303" s="4" t="s">
        <v>111</v>
      </c>
      <c r="H303" s="4" t="s">
        <v>119</v>
      </c>
      <c r="I303" s="9">
        <v>9392</v>
      </c>
      <c r="J303" s="9" t="s">
        <v>138</v>
      </c>
      <c r="K303" s="8">
        <v>45449</v>
      </c>
      <c r="L303" s="21">
        <v>4696</v>
      </c>
      <c r="M303" s="8">
        <v>45478</v>
      </c>
      <c r="N303" s="21">
        <v>4696</v>
      </c>
      <c r="O303" s="8"/>
      <c r="P303" s="21"/>
      <c r="Q303" s="8"/>
      <c r="R303" s="28"/>
    </row>
    <row r="304" spans="1:18">
      <c r="A304" s="1" t="s">
        <v>440</v>
      </c>
      <c r="B304" s="6" t="s">
        <v>53</v>
      </c>
      <c r="C304" s="7">
        <v>45425</v>
      </c>
      <c r="D304" s="25">
        <f t="shared" si="8"/>
        <v>5</v>
      </c>
      <c r="E304" s="25">
        <f t="shared" si="9"/>
        <v>2024</v>
      </c>
      <c r="F304" s="7" t="s">
        <v>102</v>
      </c>
      <c r="G304" s="4" t="s">
        <v>111</v>
      </c>
      <c r="H304" s="4" t="s">
        <v>117</v>
      </c>
      <c r="I304" s="9">
        <v>9896</v>
      </c>
      <c r="J304" s="9" t="s">
        <v>126</v>
      </c>
      <c r="K304" s="8">
        <v>45426</v>
      </c>
      <c r="L304" s="21">
        <v>9896</v>
      </c>
      <c r="M304" s="8"/>
      <c r="N304" s="21"/>
      <c r="O304" s="8"/>
      <c r="P304" s="21"/>
      <c r="Q304" s="8"/>
      <c r="R304" s="28"/>
    </row>
    <row r="305" spans="1:18">
      <c r="A305" s="1" t="s">
        <v>441</v>
      </c>
      <c r="B305" s="6" t="s">
        <v>60</v>
      </c>
      <c r="C305" s="7">
        <v>45394</v>
      </c>
      <c r="D305" s="25">
        <f t="shared" si="8"/>
        <v>4</v>
      </c>
      <c r="E305" s="25">
        <f t="shared" si="9"/>
        <v>2024</v>
      </c>
      <c r="F305" s="7" t="s">
        <v>109</v>
      </c>
      <c r="G305" s="4" t="s">
        <v>111</v>
      </c>
      <c r="H305" s="4" t="s">
        <v>118</v>
      </c>
      <c r="I305" s="9">
        <v>1414</v>
      </c>
      <c r="J305" s="9" t="s">
        <v>126</v>
      </c>
      <c r="K305" s="8">
        <v>45395</v>
      </c>
      <c r="L305" s="21">
        <v>1414</v>
      </c>
      <c r="M305" s="8"/>
      <c r="N305" s="21"/>
      <c r="O305" s="8"/>
      <c r="P305" s="21"/>
      <c r="Q305" s="8"/>
      <c r="R305" s="28"/>
    </row>
    <row r="306" spans="1:18">
      <c r="A306" s="1" t="s">
        <v>442</v>
      </c>
      <c r="B306" s="6" t="s">
        <v>40</v>
      </c>
      <c r="C306" s="7">
        <v>45427</v>
      </c>
      <c r="D306" s="25">
        <f t="shared" si="8"/>
        <v>5</v>
      </c>
      <c r="E306" s="25">
        <f t="shared" si="9"/>
        <v>2024</v>
      </c>
      <c r="F306" s="7" t="s">
        <v>89</v>
      </c>
      <c r="G306" s="4" t="s">
        <v>111</v>
      </c>
      <c r="H306" s="4" t="s">
        <v>121</v>
      </c>
      <c r="I306" s="9">
        <v>588</v>
      </c>
      <c r="J306" s="9" t="s">
        <v>138</v>
      </c>
      <c r="K306" s="8">
        <v>45428</v>
      </c>
      <c r="L306" s="21">
        <v>294</v>
      </c>
      <c r="M306" s="8">
        <v>45457</v>
      </c>
      <c r="N306" s="21">
        <v>294</v>
      </c>
      <c r="O306" s="8"/>
      <c r="P306" s="21"/>
      <c r="Q306" s="8"/>
      <c r="R306" s="28"/>
    </row>
    <row r="307" spans="1:18">
      <c r="A307" s="1" t="s">
        <v>443</v>
      </c>
      <c r="B307" s="6" t="s">
        <v>17</v>
      </c>
      <c r="C307" s="7">
        <v>45370</v>
      </c>
      <c r="D307" s="25">
        <f t="shared" si="8"/>
        <v>3</v>
      </c>
      <c r="E307" s="25">
        <f t="shared" si="9"/>
        <v>2024</v>
      </c>
      <c r="F307" s="7" t="s">
        <v>66</v>
      </c>
      <c r="G307" s="4" t="s">
        <v>110</v>
      </c>
      <c r="H307" s="4" t="s">
        <v>114</v>
      </c>
      <c r="I307" s="9">
        <v>-1196</v>
      </c>
      <c r="J307" s="9" t="s">
        <v>138</v>
      </c>
      <c r="K307" s="8">
        <v>45371</v>
      </c>
      <c r="L307" s="21">
        <v>-598</v>
      </c>
      <c r="M307" s="8">
        <v>45400</v>
      </c>
      <c r="N307" s="21">
        <v>-598</v>
      </c>
      <c r="O307" s="8"/>
      <c r="P307" s="21"/>
      <c r="Q307" s="8"/>
      <c r="R307" s="28"/>
    </row>
    <row r="308" spans="1:18">
      <c r="A308" s="1" t="s">
        <v>444</v>
      </c>
      <c r="B308" s="6" t="s">
        <v>20</v>
      </c>
      <c r="C308" s="7">
        <v>45041</v>
      </c>
      <c r="D308" s="25">
        <f t="shared" si="8"/>
        <v>4</v>
      </c>
      <c r="E308" s="25">
        <f t="shared" si="9"/>
        <v>2023</v>
      </c>
      <c r="F308" s="7" t="s">
        <v>69</v>
      </c>
      <c r="G308" s="4" t="s">
        <v>111</v>
      </c>
      <c r="H308" s="4" t="s">
        <v>117</v>
      </c>
      <c r="I308" s="9">
        <v>3763</v>
      </c>
      <c r="J308" s="9" t="s">
        <v>138</v>
      </c>
      <c r="K308" s="8">
        <v>45042</v>
      </c>
      <c r="L308" s="21">
        <v>1881.5</v>
      </c>
      <c r="M308" s="8">
        <v>45071</v>
      </c>
      <c r="N308" s="21">
        <v>1881.5</v>
      </c>
      <c r="O308" s="8"/>
      <c r="P308" s="21"/>
      <c r="Q308" s="8"/>
      <c r="R308" s="28"/>
    </row>
    <row r="309" spans="1:18">
      <c r="A309" s="1" t="s">
        <v>445</v>
      </c>
      <c r="B309" s="6" t="s">
        <v>23</v>
      </c>
      <c r="C309" s="7">
        <v>45218</v>
      </c>
      <c r="D309" s="25">
        <f t="shared" si="8"/>
        <v>10</v>
      </c>
      <c r="E309" s="25">
        <f t="shared" si="9"/>
        <v>2023</v>
      </c>
      <c r="F309" s="7" t="s">
        <v>72</v>
      </c>
      <c r="G309" s="4" t="s">
        <v>110</v>
      </c>
      <c r="H309" s="4" t="s">
        <v>113</v>
      </c>
      <c r="I309" s="9">
        <v>-3158</v>
      </c>
      <c r="J309" s="9" t="s">
        <v>136</v>
      </c>
      <c r="K309" s="8">
        <v>45219</v>
      </c>
      <c r="L309" s="21">
        <v>-789.5</v>
      </c>
      <c r="M309" s="8">
        <v>45248</v>
      </c>
      <c r="N309" s="21">
        <v>-789.5</v>
      </c>
      <c r="O309" s="8">
        <v>45263</v>
      </c>
      <c r="P309" s="21">
        <v>-789.5</v>
      </c>
      <c r="Q309" s="8">
        <v>45278</v>
      </c>
      <c r="R309" s="28">
        <v>-789.5</v>
      </c>
    </row>
    <row r="310" spans="1:18">
      <c r="A310" s="1" t="s">
        <v>446</v>
      </c>
      <c r="B310" s="6" t="s">
        <v>45</v>
      </c>
      <c r="C310" s="7">
        <v>45333</v>
      </c>
      <c r="D310" s="25">
        <f t="shared" si="8"/>
        <v>2</v>
      </c>
      <c r="E310" s="25">
        <f t="shared" si="9"/>
        <v>2024</v>
      </c>
      <c r="F310" s="7" t="s">
        <v>94</v>
      </c>
      <c r="G310" s="4" t="s">
        <v>110</v>
      </c>
      <c r="H310" s="4" t="s">
        <v>113</v>
      </c>
      <c r="I310" s="9">
        <v>-805</v>
      </c>
      <c r="J310" s="9" t="s">
        <v>137</v>
      </c>
      <c r="K310" s="8">
        <v>45334</v>
      </c>
      <c r="L310" s="21">
        <v>-268.33333333333331</v>
      </c>
      <c r="M310" s="8">
        <v>45363</v>
      </c>
      <c r="N310" s="21">
        <v>-268.33333333333331</v>
      </c>
      <c r="O310" s="8">
        <v>45378</v>
      </c>
      <c r="P310" s="21">
        <v>-268.33333333333331</v>
      </c>
      <c r="Q310" s="8"/>
      <c r="R310" s="28"/>
    </row>
    <row r="311" spans="1:18">
      <c r="A311" s="1" t="s">
        <v>447</v>
      </c>
      <c r="B311" s="6" t="s">
        <v>19</v>
      </c>
      <c r="C311" s="7">
        <v>45444</v>
      </c>
      <c r="D311" s="25">
        <f t="shared" si="8"/>
        <v>6</v>
      </c>
      <c r="E311" s="25">
        <f t="shared" si="9"/>
        <v>2024</v>
      </c>
      <c r="F311" s="7" t="s">
        <v>68</v>
      </c>
      <c r="G311" s="4" t="s">
        <v>111</v>
      </c>
      <c r="H311" s="4" t="s">
        <v>118</v>
      </c>
      <c r="I311" s="9">
        <v>6988</v>
      </c>
      <c r="J311" s="9" t="s">
        <v>138</v>
      </c>
      <c r="K311" s="8">
        <v>45445</v>
      </c>
      <c r="L311" s="21">
        <v>3494</v>
      </c>
      <c r="M311" s="8">
        <v>45474</v>
      </c>
      <c r="N311" s="21">
        <v>3494</v>
      </c>
      <c r="O311" s="8"/>
      <c r="P311" s="21"/>
      <c r="Q311" s="8"/>
      <c r="R311" s="28"/>
    </row>
    <row r="312" spans="1:18">
      <c r="A312" s="1" t="s">
        <v>448</v>
      </c>
      <c r="B312" s="6" t="s">
        <v>59</v>
      </c>
      <c r="C312" s="7">
        <v>45188</v>
      </c>
      <c r="D312" s="25">
        <f t="shared" si="8"/>
        <v>9</v>
      </c>
      <c r="E312" s="25">
        <f t="shared" si="9"/>
        <v>2023</v>
      </c>
      <c r="F312" s="7" t="s">
        <v>108</v>
      </c>
      <c r="G312" s="4" t="s">
        <v>111</v>
      </c>
      <c r="H312" s="4" t="s">
        <v>121</v>
      </c>
      <c r="I312" s="9">
        <v>826</v>
      </c>
      <c r="J312" s="9" t="s">
        <v>137</v>
      </c>
      <c r="K312" s="8">
        <v>45189</v>
      </c>
      <c r="L312" s="21">
        <v>275.33333333333331</v>
      </c>
      <c r="M312" s="8">
        <v>45218</v>
      </c>
      <c r="N312" s="21">
        <v>275.33333333333331</v>
      </c>
      <c r="O312" s="8">
        <v>45233</v>
      </c>
      <c r="P312" s="21">
        <v>275.33333333333331</v>
      </c>
      <c r="Q312" s="8"/>
      <c r="R312" s="28"/>
    </row>
    <row r="313" spans="1:18">
      <c r="A313" s="1" t="s">
        <v>449</v>
      </c>
      <c r="B313" s="6" t="s">
        <v>23</v>
      </c>
      <c r="C313" s="7">
        <v>45410</v>
      </c>
      <c r="D313" s="25">
        <f t="shared" si="8"/>
        <v>4</v>
      </c>
      <c r="E313" s="25">
        <f t="shared" si="9"/>
        <v>2024</v>
      </c>
      <c r="F313" s="7" t="s">
        <v>72</v>
      </c>
      <c r="G313" s="4" t="s">
        <v>110</v>
      </c>
      <c r="H313" s="4" t="s">
        <v>113</v>
      </c>
      <c r="I313" s="9">
        <v>-9423</v>
      </c>
      <c r="J313" s="9" t="s">
        <v>138</v>
      </c>
      <c r="K313" s="8">
        <v>45411</v>
      </c>
      <c r="L313" s="21">
        <v>-4711.5</v>
      </c>
      <c r="M313" s="8">
        <v>45440</v>
      </c>
      <c r="N313" s="21">
        <v>-4711.5</v>
      </c>
      <c r="O313" s="8"/>
      <c r="P313" s="21"/>
      <c r="Q313" s="8"/>
      <c r="R313" s="28"/>
    </row>
    <row r="314" spans="1:18">
      <c r="A314" s="1" t="s">
        <v>450</v>
      </c>
      <c r="B314" s="6" t="s">
        <v>27</v>
      </c>
      <c r="C314" s="7">
        <v>45543</v>
      </c>
      <c r="D314" s="25">
        <f t="shared" si="8"/>
        <v>9</v>
      </c>
      <c r="E314" s="25">
        <f t="shared" si="9"/>
        <v>2024</v>
      </c>
      <c r="F314" s="7" t="s">
        <v>76</v>
      </c>
      <c r="G314" s="4" t="s">
        <v>110</v>
      </c>
      <c r="H314" s="4" t="s">
        <v>125</v>
      </c>
      <c r="I314" s="9">
        <v>-568</v>
      </c>
      <c r="J314" s="9" t="s">
        <v>137</v>
      </c>
      <c r="K314" s="8">
        <v>45544</v>
      </c>
      <c r="L314" s="21">
        <v>-189.33333333333334</v>
      </c>
      <c r="M314" s="8">
        <v>45573</v>
      </c>
      <c r="N314" s="21">
        <v>-189.33333333333334</v>
      </c>
      <c r="O314" s="8">
        <v>45588</v>
      </c>
      <c r="P314" s="21">
        <v>-189.33333333333334</v>
      </c>
      <c r="Q314" s="8"/>
      <c r="R314" s="28"/>
    </row>
    <row r="315" spans="1:18">
      <c r="A315" s="1" t="s">
        <v>451</v>
      </c>
      <c r="B315" s="6" t="s">
        <v>15</v>
      </c>
      <c r="C315" s="7">
        <v>45329</v>
      </c>
      <c r="D315" s="25">
        <f t="shared" si="8"/>
        <v>2</v>
      </c>
      <c r="E315" s="25">
        <f t="shared" si="9"/>
        <v>2024</v>
      </c>
      <c r="F315" s="7" t="s">
        <v>64</v>
      </c>
      <c r="G315" s="4" t="s">
        <v>112</v>
      </c>
      <c r="H315" s="4" t="s">
        <v>123</v>
      </c>
      <c r="I315" s="9">
        <v>684</v>
      </c>
      <c r="J315" s="9" t="s">
        <v>126</v>
      </c>
      <c r="K315" s="8">
        <v>45330</v>
      </c>
      <c r="L315" s="21">
        <v>684</v>
      </c>
      <c r="M315" s="8"/>
      <c r="N315" s="21"/>
      <c r="O315" s="8"/>
      <c r="P315" s="21"/>
      <c r="Q315" s="8"/>
      <c r="R315" s="28"/>
    </row>
    <row r="316" spans="1:18">
      <c r="A316" s="1" t="s">
        <v>452</v>
      </c>
      <c r="B316" s="6" t="s">
        <v>39</v>
      </c>
      <c r="C316" s="7">
        <v>45504</v>
      </c>
      <c r="D316" s="25">
        <f t="shared" si="8"/>
        <v>7</v>
      </c>
      <c r="E316" s="25">
        <f t="shared" si="9"/>
        <v>2024</v>
      </c>
      <c r="F316" s="7" t="s">
        <v>88</v>
      </c>
      <c r="G316" s="4" t="s">
        <v>110</v>
      </c>
      <c r="H316" s="4" t="s">
        <v>114</v>
      </c>
      <c r="I316" s="9">
        <v>-7836</v>
      </c>
      <c r="J316" s="9" t="s">
        <v>126</v>
      </c>
      <c r="K316" s="8">
        <v>45505</v>
      </c>
      <c r="L316" s="21">
        <v>-7836</v>
      </c>
      <c r="M316" s="8"/>
      <c r="N316" s="21"/>
      <c r="O316" s="8"/>
      <c r="P316" s="21"/>
      <c r="Q316" s="8"/>
      <c r="R316" s="28"/>
    </row>
    <row r="317" spans="1:18">
      <c r="A317" s="1" t="s">
        <v>453</v>
      </c>
      <c r="B317" s="6" t="s">
        <v>16</v>
      </c>
      <c r="C317" s="7">
        <v>45460</v>
      </c>
      <c r="D317" s="25">
        <f t="shared" si="8"/>
        <v>6</v>
      </c>
      <c r="E317" s="25">
        <f t="shared" si="9"/>
        <v>2024</v>
      </c>
      <c r="F317" s="7" t="s">
        <v>65</v>
      </c>
      <c r="G317" s="4" t="s">
        <v>110</v>
      </c>
      <c r="H317" s="4" t="s">
        <v>125</v>
      </c>
      <c r="I317" s="9">
        <v>-2027</v>
      </c>
      <c r="J317" s="9" t="s">
        <v>126</v>
      </c>
      <c r="K317" s="8">
        <v>45461</v>
      </c>
      <c r="L317" s="21">
        <v>-2027</v>
      </c>
      <c r="M317" s="8"/>
      <c r="N317" s="21"/>
      <c r="O317" s="8"/>
      <c r="P317" s="21"/>
      <c r="Q317" s="8"/>
      <c r="R317" s="28"/>
    </row>
    <row r="318" spans="1:18">
      <c r="A318" s="1" t="s">
        <v>454</v>
      </c>
      <c r="B318" s="6" t="s">
        <v>57</v>
      </c>
      <c r="C318" s="7">
        <v>45421</v>
      </c>
      <c r="D318" s="25">
        <f t="shared" si="8"/>
        <v>5</v>
      </c>
      <c r="E318" s="25">
        <f t="shared" si="9"/>
        <v>2024</v>
      </c>
      <c r="F318" s="7" t="s">
        <v>106</v>
      </c>
      <c r="G318" s="4" t="s">
        <v>112</v>
      </c>
      <c r="H318" s="4" t="s">
        <v>122</v>
      </c>
      <c r="I318" s="9">
        <v>6089</v>
      </c>
      <c r="J318" s="9" t="s">
        <v>126</v>
      </c>
      <c r="K318" s="8">
        <v>45422</v>
      </c>
      <c r="L318" s="21">
        <v>6089</v>
      </c>
      <c r="M318" s="8"/>
      <c r="N318" s="21"/>
      <c r="O318" s="8"/>
      <c r="P318" s="21"/>
      <c r="Q318" s="8"/>
      <c r="R318" s="28"/>
    </row>
    <row r="319" spans="1:18">
      <c r="A319" s="1" t="s">
        <v>455</v>
      </c>
      <c r="B319" s="6" t="s">
        <v>31</v>
      </c>
      <c r="C319" s="7">
        <v>45340</v>
      </c>
      <c r="D319" s="25">
        <f t="shared" si="8"/>
        <v>2</v>
      </c>
      <c r="E319" s="25">
        <f t="shared" si="9"/>
        <v>2024</v>
      </c>
      <c r="F319" s="7" t="s">
        <v>80</v>
      </c>
      <c r="G319" s="4" t="s">
        <v>111</v>
      </c>
      <c r="H319" s="4" t="s">
        <v>117</v>
      </c>
      <c r="I319" s="9">
        <v>3771</v>
      </c>
      <c r="J319" s="9" t="s">
        <v>136</v>
      </c>
      <c r="K319" s="8">
        <v>45341</v>
      </c>
      <c r="L319" s="21">
        <v>942.75</v>
      </c>
      <c r="M319" s="8">
        <v>45370</v>
      </c>
      <c r="N319" s="21">
        <v>942.75</v>
      </c>
      <c r="O319" s="8">
        <v>45385</v>
      </c>
      <c r="P319" s="21">
        <v>942.75</v>
      </c>
      <c r="Q319" s="8">
        <v>45400</v>
      </c>
      <c r="R319" s="28">
        <v>942.75</v>
      </c>
    </row>
    <row r="320" spans="1:18">
      <c r="A320" s="1" t="s">
        <v>456</v>
      </c>
      <c r="B320" s="6" t="s">
        <v>58</v>
      </c>
      <c r="C320" s="7">
        <v>45250</v>
      </c>
      <c r="D320" s="25">
        <f t="shared" si="8"/>
        <v>11</v>
      </c>
      <c r="E320" s="25">
        <f t="shared" si="9"/>
        <v>2023</v>
      </c>
      <c r="F320" s="7" t="s">
        <v>107</v>
      </c>
      <c r="G320" s="4" t="s">
        <v>111</v>
      </c>
      <c r="H320" s="4" t="s">
        <v>120</v>
      </c>
      <c r="I320" s="9">
        <v>8695</v>
      </c>
      <c r="J320" s="9" t="s">
        <v>126</v>
      </c>
      <c r="K320" s="8">
        <v>45251</v>
      </c>
      <c r="L320" s="21">
        <v>8695</v>
      </c>
      <c r="M320" s="8"/>
      <c r="N320" s="21"/>
      <c r="O320" s="8"/>
      <c r="P320" s="21"/>
      <c r="Q320" s="8"/>
      <c r="R320" s="28"/>
    </row>
    <row r="321" spans="1:18">
      <c r="A321" s="1" t="s">
        <v>457</v>
      </c>
      <c r="B321" s="6" t="s">
        <v>18</v>
      </c>
      <c r="C321" s="7">
        <v>45205</v>
      </c>
      <c r="D321" s="25">
        <f t="shared" si="8"/>
        <v>10</v>
      </c>
      <c r="E321" s="25">
        <f t="shared" si="9"/>
        <v>2023</v>
      </c>
      <c r="F321" s="7" t="s">
        <v>67</v>
      </c>
      <c r="G321" s="4" t="s">
        <v>111</v>
      </c>
      <c r="H321" s="4" t="s">
        <v>121</v>
      </c>
      <c r="I321" s="9">
        <v>3941</v>
      </c>
      <c r="J321" s="9" t="s">
        <v>126</v>
      </c>
      <c r="K321" s="8">
        <v>45206</v>
      </c>
      <c r="L321" s="21">
        <v>3941</v>
      </c>
      <c r="M321" s="8"/>
      <c r="N321" s="21"/>
      <c r="O321" s="8"/>
      <c r="P321" s="21"/>
      <c r="Q321" s="8"/>
      <c r="R321" s="28"/>
    </row>
    <row r="322" spans="1:18">
      <c r="A322" s="1" t="s">
        <v>458</v>
      </c>
      <c r="B322" s="6" t="s">
        <v>60</v>
      </c>
      <c r="C322" s="7">
        <v>45110</v>
      </c>
      <c r="D322" s="25">
        <f t="shared" si="8"/>
        <v>7</v>
      </c>
      <c r="E322" s="25">
        <f t="shared" si="9"/>
        <v>2023</v>
      </c>
      <c r="F322" s="7" t="s">
        <v>109</v>
      </c>
      <c r="G322" s="4" t="s">
        <v>111</v>
      </c>
      <c r="H322" s="4" t="s">
        <v>118</v>
      </c>
      <c r="I322" s="9">
        <v>7529</v>
      </c>
      <c r="J322" s="9" t="s">
        <v>138</v>
      </c>
      <c r="K322" s="8">
        <v>45111</v>
      </c>
      <c r="L322" s="21">
        <v>3764.5</v>
      </c>
      <c r="M322" s="8">
        <v>45140</v>
      </c>
      <c r="N322" s="21">
        <v>3764.5</v>
      </c>
      <c r="O322" s="8"/>
      <c r="P322" s="21"/>
      <c r="Q322" s="8"/>
      <c r="R322" s="28"/>
    </row>
    <row r="323" spans="1:18">
      <c r="A323" s="1" t="s">
        <v>459</v>
      </c>
      <c r="B323" s="6" t="s">
        <v>29</v>
      </c>
      <c r="C323" s="7">
        <v>45156</v>
      </c>
      <c r="D323" s="25">
        <f t="shared" si="8"/>
        <v>8</v>
      </c>
      <c r="E323" s="25">
        <f t="shared" si="9"/>
        <v>2023</v>
      </c>
      <c r="F323" s="7" t="s">
        <v>78</v>
      </c>
      <c r="G323" s="4" t="s">
        <v>111</v>
      </c>
      <c r="H323" s="4" t="s">
        <v>121</v>
      </c>
      <c r="I323" s="9">
        <v>3809</v>
      </c>
      <c r="J323" s="9" t="s">
        <v>137</v>
      </c>
      <c r="K323" s="8">
        <v>45157</v>
      </c>
      <c r="L323" s="21">
        <v>1269.6666666666667</v>
      </c>
      <c r="M323" s="8">
        <v>45186</v>
      </c>
      <c r="N323" s="21">
        <v>1269.6666666666667</v>
      </c>
      <c r="O323" s="8">
        <v>45201</v>
      </c>
      <c r="P323" s="21">
        <v>1269.6666666666667</v>
      </c>
      <c r="Q323" s="8"/>
      <c r="R323" s="28"/>
    </row>
    <row r="324" spans="1:18">
      <c r="A324" s="1" t="s">
        <v>460</v>
      </c>
      <c r="B324" s="6" t="s">
        <v>27</v>
      </c>
      <c r="C324" s="7">
        <v>45257</v>
      </c>
      <c r="D324" s="25">
        <f t="shared" ref="D324:D387" si="10">MONTH(C324)</f>
        <v>11</v>
      </c>
      <c r="E324" s="25">
        <f t="shared" ref="E324:E387" si="11">YEAR(C324)</f>
        <v>2023</v>
      </c>
      <c r="F324" s="7" t="s">
        <v>76</v>
      </c>
      <c r="G324" s="4" t="s">
        <v>110</v>
      </c>
      <c r="H324" s="4" t="s">
        <v>125</v>
      </c>
      <c r="I324" s="9">
        <v>-9961</v>
      </c>
      <c r="J324" s="9" t="s">
        <v>137</v>
      </c>
      <c r="K324" s="8">
        <v>45258</v>
      </c>
      <c r="L324" s="21">
        <v>-3320.3333333333335</v>
      </c>
      <c r="M324" s="8">
        <v>45287</v>
      </c>
      <c r="N324" s="21">
        <v>-3320.3333333333335</v>
      </c>
      <c r="O324" s="8">
        <v>45302</v>
      </c>
      <c r="P324" s="21">
        <v>-3320.3333333333335</v>
      </c>
      <c r="Q324" s="8"/>
      <c r="R324" s="28"/>
    </row>
    <row r="325" spans="1:18">
      <c r="A325" s="1" t="s">
        <v>461</v>
      </c>
      <c r="B325" s="6" t="s">
        <v>38</v>
      </c>
      <c r="C325" s="7">
        <v>45395</v>
      </c>
      <c r="D325" s="25">
        <f t="shared" si="10"/>
        <v>4</v>
      </c>
      <c r="E325" s="25">
        <f t="shared" si="11"/>
        <v>2024</v>
      </c>
      <c r="F325" s="7" t="s">
        <v>87</v>
      </c>
      <c r="G325" s="4" t="s">
        <v>110</v>
      </c>
      <c r="H325" s="4" t="s">
        <v>125</v>
      </c>
      <c r="I325" s="9">
        <v>-3972</v>
      </c>
      <c r="J325" s="9" t="s">
        <v>126</v>
      </c>
      <c r="K325" s="8">
        <v>45396</v>
      </c>
      <c r="L325" s="21">
        <v>-3972</v>
      </c>
      <c r="M325" s="8"/>
      <c r="N325" s="21"/>
      <c r="O325" s="8"/>
      <c r="P325" s="21"/>
      <c r="Q325" s="8"/>
      <c r="R325" s="28"/>
    </row>
    <row r="326" spans="1:18">
      <c r="A326" s="1" t="s">
        <v>462</v>
      </c>
      <c r="B326" s="6" t="s">
        <v>35</v>
      </c>
      <c r="C326" s="7">
        <v>45069</v>
      </c>
      <c r="D326" s="25">
        <f t="shared" si="10"/>
        <v>5</v>
      </c>
      <c r="E326" s="25">
        <f t="shared" si="11"/>
        <v>2023</v>
      </c>
      <c r="F326" s="7" t="s">
        <v>84</v>
      </c>
      <c r="G326" s="4" t="s">
        <v>112</v>
      </c>
      <c r="H326" s="4" t="s">
        <v>122</v>
      </c>
      <c r="I326" s="9">
        <v>4058</v>
      </c>
      <c r="J326" s="9" t="s">
        <v>126</v>
      </c>
      <c r="K326" s="8">
        <v>45070</v>
      </c>
      <c r="L326" s="21">
        <v>4058</v>
      </c>
      <c r="M326" s="8"/>
      <c r="N326" s="21"/>
      <c r="O326" s="8"/>
      <c r="P326" s="21"/>
      <c r="Q326" s="8"/>
      <c r="R326" s="28"/>
    </row>
    <row r="327" spans="1:18">
      <c r="A327" s="1" t="s">
        <v>463</v>
      </c>
      <c r="B327" s="6" t="s">
        <v>21</v>
      </c>
      <c r="C327" s="7">
        <v>45233</v>
      </c>
      <c r="D327" s="25">
        <f t="shared" si="10"/>
        <v>11</v>
      </c>
      <c r="E327" s="25">
        <f t="shared" si="11"/>
        <v>2023</v>
      </c>
      <c r="F327" s="7" t="s">
        <v>70</v>
      </c>
      <c r="G327" s="4" t="s">
        <v>110</v>
      </c>
      <c r="H327" s="4" t="s">
        <v>124</v>
      </c>
      <c r="I327" s="9">
        <v>-6809</v>
      </c>
      <c r="J327" s="9" t="s">
        <v>137</v>
      </c>
      <c r="K327" s="8">
        <v>45234</v>
      </c>
      <c r="L327" s="21">
        <v>-2269.6666666666665</v>
      </c>
      <c r="M327" s="8">
        <v>45263</v>
      </c>
      <c r="N327" s="21">
        <v>-2269.6666666666665</v>
      </c>
      <c r="O327" s="8">
        <v>45278</v>
      </c>
      <c r="P327" s="21">
        <v>-2269.6666666666665</v>
      </c>
      <c r="Q327" s="8"/>
      <c r="R327" s="28"/>
    </row>
    <row r="328" spans="1:18">
      <c r="A328" s="1" t="s">
        <v>464</v>
      </c>
      <c r="B328" s="6" t="s">
        <v>17</v>
      </c>
      <c r="C328" s="7">
        <v>45079</v>
      </c>
      <c r="D328" s="25">
        <f t="shared" si="10"/>
        <v>6</v>
      </c>
      <c r="E328" s="25">
        <f t="shared" si="11"/>
        <v>2023</v>
      </c>
      <c r="F328" s="7" t="s">
        <v>66</v>
      </c>
      <c r="G328" s="4" t="s">
        <v>110</v>
      </c>
      <c r="H328" s="4" t="s">
        <v>114</v>
      </c>
      <c r="I328" s="9">
        <v>-4005</v>
      </c>
      <c r="J328" s="9" t="s">
        <v>126</v>
      </c>
      <c r="K328" s="8">
        <v>45080</v>
      </c>
      <c r="L328" s="21">
        <v>-4005</v>
      </c>
      <c r="M328" s="8"/>
      <c r="N328" s="21"/>
      <c r="O328" s="8"/>
      <c r="P328" s="21"/>
      <c r="Q328" s="8"/>
      <c r="R328" s="28"/>
    </row>
    <row r="329" spans="1:18">
      <c r="A329" s="1" t="s">
        <v>465</v>
      </c>
      <c r="B329" s="6" t="s">
        <v>30</v>
      </c>
      <c r="C329" s="7">
        <v>45347</v>
      </c>
      <c r="D329" s="25">
        <f t="shared" si="10"/>
        <v>2</v>
      </c>
      <c r="E329" s="25">
        <f t="shared" si="11"/>
        <v>2024</v>
      </c>
      <c r="F329" s="7" t="s">
        <v>79</v>
      </c>
      <c r="G329" s="4" t="s">
        <v>111</v>
      </c>
      <c r="H329" s="4" t="s">
        <v>118</v>
      </c>
      <c r="I329" s="9">
        <v>7997</v>
      </c>
      <c r="J329" s="9" t="s">
        <v>137</v>
      </c>
      <c r="K329" s="8">
        <v>45348</v>
      </c>
      <c r="L329" s="21">
        <v>2665.6666666666665</v>
      </c>
      <c r="M329" s="8">
        <v>45377</v>
      </c>
      <c r="N329" s="21">
        <v>2665.6666666666665</v>
      </c>
      <c r="O329" s="8">
        <v>45392</v>
      </c>
      <c r="P329" s="21">
        <v>2665.6666666666665</v>
      </c>
      <c r="Q329" s="8"/>
      <c r="R329" s="28"/>
    </row>
    <row r="330" spans="1:18">
      <c r="A330" s="1" t="s">
        <v>466</v>
      </c>
      <c r="B330" s="6" t="s">
        <v>53</v>
      </c>
      <c r="C330" s="7">
        <v>45263</v>
      </c>
      <c r="D330" s="25">
        <f t="shared" si="10"/>
        <v>12</v>
      </c>
      <c r="E330" s="25">
        <f t="shared" si="11"/>
        <v>2023</v>
      </c>
      <c r="F330" s="7" t="s">
        <v>102</v>
      </c>
      <c r="G330" s="4" t="s">
        <v>111</v>
      </c>
      <c r="H330" s="4" t="s">
        <v>117</v>
      </c>
      <c r="I330" s="9">
        <v>3814</v>
      </c>
      <c r="J330" s="9" t="s">
        <v>137</v>
      </c>
      <c r="K330" s="8">
        <v>45264</v>
      </c>
      <c r="L330" s="21">
        <v>1271.3333333333333</v>
      </c>
      <c r="M330" s="8">
        <v>45293</v>
      </c>
      <c r="N330" s="21">
        <v>1271.3333333333333</v>
      </c>
      <c r="O330" s="8">
        <v>45308</v>
      </c>
      <c r="P330" s="21">
        <v>1271.3333333333333</v>
      </c>
      <c r="Q330" s="8"/>
      <c r="R330" s="28"/>
    </row>
    <row r="331" spans="1:18">
      <c r="A331" s="1" t="s">
        <v>467</v>
      </c>
      <c r="B331" s="6" t="s">
        <v>26</v>
      </c>
      <c r="C331" s="7">
        <v>45168</v>
      </c>
      <c r="D331" s="25">
        <f t="shared" si="10"/>
        <v>8</v>
      </c>
      <c r="E331" s="25">
        <f t="shared" si="11"/>
        <v>2023</v>
      </c>
      <c r="F331" s="7" t="s">
        <v>75</v>
      </c>
      <c r="G331" s="4" t="s">
        <v>112</v>
      </c>
      <c r="H331" s="4" t="s">
        <v>123</v>
      </c>
      <c r="I331" s="9">
        <v>8017</v>
      </c>
      <c r="J331" s="9" t="s">
        <v>126</v>
      </c>
      <c r="K331" s="8">
        <v>45169</v>
      </c>
      <c r="L331" s="21">
        <v>8017</v>
      </c>
      <c r="M331" s="8"/>
      <c r="N331" s="21"/>
      <c r="O331" s="8"/>
      <c r="P331" s="21"/>
      <c r="Q331" s="8"/>
      <c r="R331" s="28"/>
    </row>
    <row r="332" spans="1:18">
      <c r="A332" s="1" t="s">
        <v>468</v>
      </c>
      <c r="B332" s="6" t="s">
        <v>21</v>
      </c>
      <c r="C332" s="7">
        <v>45250</v>
      </c>
      <c r="D332" s="25">
        <f t="shared" si="10"/>
        <v>11</v>
      </c>
      <c r="E332" s="25">
        <f t="shared" si="11"/>
        <v>2023</v>
      </c>
      <c r="F332" s="7" t="s">
        <v>70</v>
      </c>
      <c r="G332" s="4" t="s">
        <v>110</v>
      </c>
      <c r="H332" s="4" t="s">
        <v>124</v>
      </c>
      <c r="I332" s="9">
        <v>-7719</v>
      </c>
      <c r="J332" s="9" t="s">
        <v>138</v>
      </c>
      <c r="K332" s="8">
        <v>45251</v>
      </c>
      <c r="L332" s="21">
        <v>-3859.5</v>
      </c>
      <c r="M332" s="8">
        <v>45280</v>
      </c>
      <c r="N332" s="21">
        <v>-3859.5</v>
      </c>
      <c r="O332" s="8"/>
      <c r="P332" s="21"/>
      <c r="Q332" s="8"/>
      <c r="R332" s="28"/>
    </row>
    <row r="333" spans="1:18">
      <c r="A333" s="1" t="s">
        <v>469</v>
      </c>
      <c r="B333" s="6" t="s">
        <v>54</v>
      </c>
      <c r="C333" s="7">
        <v>45175</v>
      </c>
      <c r="D333" s="25">
        <f t="shared" si="10"/>
        <v>9</v>
      </c>
      <c r="E333" s="25">
        <f t="shared" si="11"/>
        <v>2023</v>
      </c>
      <c r="F333" s="7" t="s">
        <v>103</v>
      </c>
      <c r="G333" s="4" t="s">
        <v>110</v>
      </c>
      <c r="H333" s="4" t="s">
        <v>124</v>
      </c>
      <c r="I333" s="9">
        <v>-8837</v>
      </c>
      <c r="J333" s="9" t="s">
        <v>126</v>
      </c>
      <c r="K333" s="8">
        <v>45176</v>
      </c>
      <c r="L333" s="21">
        <v>-8837</v>
      </c>
      <c r="M333" s="8"/>
      <c r="N333" s="21"/>
      <c r="O333" s="8"/>
      <c r="P333" s="21"/>
      <c r="Q333" s="8"/>
      <c r="R333" s="28"/>
    </row>
    <row r="334" spans="1:18">
      <c r="A334" s="1" t="s">
        <v>470</v>
      </c>
      <c r="B334" s="6" t="s">
        <v>35</v>
      </c>
      <c r="C334" s="7">
        <v>45114</v>
      </c>
      <c r="D334" s="25">
        <f t="shared" si="10"/>
        <v>7</v>
      </c>
      <c r="E334" s="25">
        <f t="shared" si="11"/>
        <v>2023</v>
      </c>
      <c r="F334" s="7" t="s">
        <v>84</v>
      </c>
      <c r="G334" s="4" t="s">
        <v>112</v>
      </c>
      <c r="H334" s="4" t="s">
        <v>122</v>
      </c>
      <c r="I334" s="9">
        <v>3117</v>
      </c>
      <c r="J334" s="9" t="s">
        <v>126</v>
      </c>
      <c r="K334" s="8">
        <v>45115</v>
      </c>
      <c r="L334" s="21">
        <v>3117</v>
      </c>
      <c r="M334" s="8"/>
      <c r="N334" s="21"/>
      <c r="O334" s="8"/>
      <c r="P334" s="21"/>
      <c r="Q334" s="8"/>
      <c r="R334" s="28"/>
    </row>
    <row r="335" spans="1:18">
      <c r="A335" s="1" t="s">
        <v>471</v>
      </c>
      <c r="B335" s="6" t="s">
        <v>20</v>
      </c>
      <c r="C335" s="7">
        <v>45302</v>
      </c>
      <c r="D335" s="25">
        <f t="shared" si="10"/>
        <v>1</v>
      </c>
      <c r="E335" s="25">
        <f t="shared" si="11"/>
        <v>2024</v>
      </c>
      <c r="F335" s="7" t="s">
        <v>69</v>
      </c>
      <c r="G335" s="4" t="s">
        <v>111</v>
      </c>
      <c r="H335" s="4" t="s">
        <v>117</v>
      </c>
      <c r="I335" s="9">
        <v>781</v>
      </c>
      <c r="J335" s="9" t="s">
        <v>136</v>
      </c>
      <c r="K335" s="8">
        <v>45303</v>
      </c>
      <c r="L335" s="21">
        <v>195.25</v>
      </c>
      <c r="M335" s="8">
        <v>45332</v>
      </c>
      <c r="N335" s="21">
        <v>195.25</v>
      </c>
      <c r="O335" s="8">
        <v>45347</v>
      </c>
      <c r="P335" s="21">
        <v>195.25</v>
      </c>
      <c r="Q335" s="8">
        <v>45362</v>
      </c>
      <c r="R335" s="28">
        <v>195.25</v>
      </c>
    </row>
    <row r="336" spans="1:18">
      <c r="A336" s="1" t="s">
        <v>472</v>
      </c>
      <c r="B336" s="6" t="s">
        <v>14</v>
      </c>
      <c r="C336" s="7">
        <v>45259</v>
      </c>
      <c r="D336" s="25">
        <f t="shared" si="10"/>
        <v>11</v>
      </c>
      <c r="E336" s="25">
        <f t="shared" si="11"/>
        <v>2023</v>
      </c>
      <c r="F336" s="7" t="s">
        <v>61</v>
      </c>
      <c r="G336" s="4" t="s">
        <v>110</v>
      </c>
      <c r="H336" s="4" t="s">
        <v>113</v>
      </c>
      <c r="I336" s="9">
        <v>-2684</v>
      </c>
      <c r="J336" s="9" t="s">
        <v>138</v>
      </c>
      <c r="K336" s="8">
        <v>45260</v>
      </c>
      <c r="L336" s="21">
        <v>-1342</v>
      </c>
      <c r="M336" s="8">
        <v>45289</v>
      </c>
      <c r="N336" s="21">
        <v>-1342</v>
      </c>
      <c r="O336" s="8"/>
      <c r="P336" s="21"/>
      <c r="Q336" s="8"/>
      <c r="R336" s="28"/>
    </row>
    <row r="337" spans="1:18">
      <c r="A337" s="1" t="s">
        <v>473</v>
      </c>
      <c r="B337" s="6" t="s">
        <v>41</v>
      </c>
      <c r="C337" s="7">
        <v>45076</v>
      </c>
      <c r="D337" s="25">
        <f t="shared" si="10"/>
        <v>5</v>
      </c>
      <c r="E337" s="25">
        <f t="shared" si="11"/>
        <v>2023</v>
      </c>
      <c r="F337" s="7" t="s">
        <v>90</v>
      </c>
      <c r="G337" s="4" t="s">
        <v>111</v>
      </c>
      <c r="H337" s="4" t="s">
        <v>118</v>
      </c>
      <c r="I337" s="9">
        <v>5313</v>
      </c>
      <c r="J337" s="9" t="s">
        <v>138</v>
      </c>
      <c r="K337" s="8">
        <v>45077</v>
      </c>
      <c r="L337" s="21">
        <v>2656.5</v>
      </c>
      <c r="M337" s="8">
        <v>45106</v>
      </c>
      <c r="N337" s="21">
        <v>2656.5</v>
      </c>
      <c r="O337" s="8"/>
      <c r="P337" s="21"/>
      <c r="Q337" s="8"/>
      <c r="R337" s="28"/>
    </row>
    <row r="338" spans="1:18">
      <c r="A338" s="1" t="s">
        <v>474</v>
      </c>
      <c r="B338" s="6" t="s">
        <v>60</v>
      </c>
      <c r="C338" s="7">
        <v>45294</v>
      </c>
      <c r="D338" s="25">
        <f t="shared" si="10"/>
        <v>1</v>
      </c>
      <c r="E338" s="25">
        <f t="shared" si="11"/>
        <v>2024</v>
      </c>
      <c r="F338" s="7" t="s">
        <v>109</v>
      </c>
      <c r="G338" s="4" t="s">
        <v>111</v>
      </c>
      <c r="H338" s="4" t="s">
        <v>118</v>
      </c>
      <c r="I338" s="9">
        <v>1085</v>
      </c>
      <c r="J338" s="9" t="s">
        <v>137</v>
      </c>
      <c r="K338" s="8">
        <v>45295</v>
      </c>
      <c r="L338" s="21">
        <v>361.66666666666669</v>
      </c>
      <c r="M338" s="8">
        <v>45324</v>
      </c>
      <c r="N338" s="21">
        <v>361.66666666666669</v>
      </c>
      <c r="O338" s="8">
        <v>45339</v>
      </c>
      <c r="P338" s="21">
        <v>361.66666666666669</v>
      </c>
      <c r="Q338" s="8"/>
      <c r="R338" s="28"/>
    </row>
    <row r="339" spans="1:18">
      <c r="A339" s="1" t="s">
        <v>475</v>
      </c>
      <c r="B339" s="6" t="s">
        <v>36</v>
      </c>
      <c r="C339" s="7">
        <v>45272</v>
      </c>
      <c r="D339" s="25">
        <f t="shared" si="10"/>
        <v>12</v>
      </c>
      <c r="E339" s="25">
        <f t="shared" si="11"/>
        <v>2023</v>
      </c>
      <c r="F339" s="7" t="s">
        <v>85</v>
      </c>
      <c r="G339" s="4" t="s">
        <v>111</v>
      </c>
      <c r="H339" s="4" t="s">
        <v>120</v>
      </c>
      <c r="I339" s="9">
        <v>9429</v>
      </c>
      <c r="J339" s="9" t="s">
        <v>138</v>
      </c>
      <c r="K339" s="8">
        <v>45273</v>
      </c>
      <c r="L339" s="21">
        <v>4714.5</v>
      </c>
      <c r="M339" s="8">
        <v>45302</v>
      </c>
      <c r="N339" s="21">
        <v>4714.5</v>
      </c>
      <c r="O339" s="8"/>
      <c r="P339" s="21"/>
      <c r="Q339" s="8"/>
      <c r="R339" s="28"/>
    </row>
    <row r="340" spans="1:18">
      <c r="A340" s="1" t="s">
        <v>476</v>
      </c>
      <c r="B340" s="6" t="s">
        <v>27</v>
      </c>
      <c r="C340" s="7">
        <v>45319</v>
      </c>
      <c r="D340" s="25">
        <f t="shared" si="10"/>
        <v>1</v>
      </c>
      <c r="E340" s="25">
        <f t="shared" si="11"/>
        <v>2024</v>
      </c>
      <c r="F340" s="7" t="s">
        <v>76</v>
      </c>
      <c r="G340" s="4" t="s">
        <v>110</v>
      </c>
      <c r="H340" s="4" t="s">
        <v>125</v>
      </c>
      <c r="I340" s="9">
        <v>-8504</v>
      </c>
      <c r="J340" s="9" t="s">
        <v>126</v>
      </c>
      <c r="K340" s="8">
        <v>45320</v>
      </c>
      <c r="L340" s="21">
        <v>-8504</v>
      </c>
      <c r="M340" s="8"/>
      <c r="N340" s="21"/>
      <c r="O340" s="8"/>
      <c r="P340" s="21"/>
      <c r="Q340" s="8"/>
      <c r="R340" s="28"/>
    </row>
    <row r="341" spans="1:18">
      <c r="A341" s="1" t="s">
        <v>477</v>
      </c>
      <c r="B341" s="6" t="s">
        <v>37</v>
      </c>
      <c r="C341" s="7">
        <v>45101</v>
      </c>
      <c r="D341" s="25">
        <f t="shared" si="10"/>
        <v>6</v>
      </c>
      <c r="E341" s="25">
        <f t="shared" si="11"/>
        <v>2023</v>
      </c>
      <c r="F341" s="7" t="s">
        <v>86</v>
      </c>
      <c r="G341" s="4" t="s">
        <v>112</v>
      </c>
      <c r="H341" s="4" t="s">
        <v>123</v>
      </c>
      <c r="I341" s="9">
        <v>1646</v>
      </c>
      <c r="J341" s="9" t="s">
        <v>126</v>
      </c>
      <c r="K341" s="8">
        <v>45102</v>
      </c>
      <c r="L341" s="21">
        <v>1646</v>
      </c>
      <c r="M341" s="8"/>
      <c r="N341" s="21"/>
      <c r="O341" s="8"/>
      <c r="P341" s="21"/>
      <c r="Q341" s="8"/>
      <c r="R341" s="28"/>
    </row>
    <row r="342" spans="1:18">
      <c r="A342" s="1" t="s">
        <v>478</v>
      </c>
      <c r="B342" s="6" t="s">
        <v>28</v>
      </c>
      <c r="C342" s="7">
        <v>45287</v>
      </c>
      <c r="D342" s="25">
        <f t="shared" si="10"/>
        <v>12</v>
      </c>
      <c r="E342" s="25">
        <f t="shared" si="11"/>
        <v>2023</v>
      </c>
      <c r="F342" s="7" t="s">
        <v>77</v>
      </c>
      <c r="G342" s="4" t="s">
        <v>110</v>
      </c>
      <c r="H342" s="4" t="s">
        <v>114</v>
      </c>
      <c r="I342" s="9">
        <v>-7876</v>
      </c>
      <c r="J342" s="9" t="s">
        <v>136</v>
      </c>
      <c r="K342" s="8">
        <v>45288</v>
      </c>
      <c r="L342" s="21">
        <v>-1969</v>
      </c>
      <c r="M342" s="8">
        <v>45317</v>
      </c>
      <c r="N342" s="21">
        <v>-1969</v>
      </c>
      <c r="O342" s="8">
        <v>45332</v>
      </c>
      <c r="P342" s="21">
        <v>-1969</v>
      </c>
      <c r="Q342" s="8">
        <v>45347</v>
      </c>
      <c r="R342" s="28">
        <v>-1969</v>
      </c>
    </row>
    <row r="343" spans="1:18">
      <c r="A343" s="1" t="s">
        <v>479</v>
      </c>
      <c r="B343" s="6" t="s">
        <v>29</v>
      </c>
      <c r="C343" s="7">
        <v>45302</v>
      </c>
      <c r="D343" s="25">
        <f t="shared" si="10"/>
        <v>1</v>
      </c>
      <c r="E343" s="25">
        <f t="shared" si="11"/>
        <v>2024</v>
      </c>
      <c r="F343" s="7" t="s">
        <v>78</v>
      </c>
      <c r="G343" s="4" t="s">
        <v>111</v>
      </c>
      <c r="H343" s="4" t="s">
        <v>121</v>
      </c>
      <c r="I343" s="9">
        <v>4203</v>
      </c>
      <c r="J343" s="9" t="s">
        <v>137</v>
      </c>
      <c r="K343" s="8">
        <v>45303</v>
      </c>
      <c r="L343" s="21">
        <v>1401</v>
      </c>
      <c r="M343" s="8">
        <v>45332</v>
      </c>
      <c r="N343" s="21">
        <v>1401</v>
      </c>
      <c r="O343" s="8">
        <v>45347</v>
      </c>
      <c r="P343" s="21">
        <v>1401</v>
      </c>
      <c r="Q343" s="8"/>
      <c r="R343" s="28"/>
    </row>
    <row r="344" spans="1:18">
      <c r="A344" s="1" t="s">
        <v>480</v>
      </c>
      <c r="B344" s="6" t="s">
        <v>30</v>
      </c>
      <c r="C344" s="7">
        <v>45223</v>
      </c>
      <c r="D344" s="25">
        <f t="shared" si="10"/>
        <v>10</v>
      </c>
      <c r="E344" s="25">
        <f t="shared" si="11"/>
        <v>2023</v>
      </c>
      <c r="F344" s="7" t="s">
        <v>79</v>
      </c>
      <c r="G344" s="4" t="s">
        <v>111</v>
      </c>
      <c r="H344" s="4" t="s">
        <v>118</v>
      </c>
      <c r="I344" s="9">
        <v>5128</v>
      </c>
      <c r="J344" s="9" t="s">
        <v>126</v>
      </c>
      <c r="K344" s="8">
        <v>45224</v>
      </c>
      <c r="L344" s="21">
        <v>5128</v>
      </c>
      <c r="M344" s="8"/>
      <c r="N344" s="21"/>
      <c r="O344" s="8"/>
      <c r="P344" s="21"/>
      <c r="Q344" s="8"/>
      <c r="R344" s="28"/>
    </row>
    <row r="345" spans="1:18">
      <c r="A345" s="1" t="s">
        <v>481</v>
      </c>
      <c r="B345" s="6" t="s">
        <v>16</v>
      </c>
      <c r="C345" s="7">
        <v>45218</v>
      </c>
      <c r="D345" s="25">
        <f t="shared" si="10"/>
        <v>10</v>
      </c>
      <c r="E345" s="25">
        <f t="shared" si="11"/>
        <v>2023</v>
      </c>
      <c r="F345" s="7" t="s">
        <v>65</v>
      </c>
      <c r="G345" s="4" t="s">
        <v>110</v>
      </c>
      <c r="H345" s="4" t="s">
        <v>125</v>
      </c>
      <c r="I345" s="9">
        <v>-6535</v>
      </c>
      <c r="J345" s="9" t="s">
        <v>138</v>
      </c>
      <c r="K345" s="8">
        <v>45219</v>
      </c>
      <c r="L345" s="21">
        <v>-3267.5</v>
      </c>
      <c r="M345" s="8">
        <v>45248</v>
      </c>
      <c r="N345" s="21">
        <v>-3267.5</v>
      </c>
      <c r="O345" s="8"/>
      <c r="P345" s="21"/>
      <c r="Q345" s="8"/>
      <c r="R345" s="28"/>
    </row>
    <row r="346" spans="1:18">
      <c r="A346" s="1" t="s">
        <v>482</v>
      </c>
      <c r="B346" s="6" t="s">
        <v>22</v>
      </c>
      <c r="C346" s="7">
        <v>45268</v>
      </c>
      <c r="D346" s="25">
        <f t="shared" si="10"/>
        <v>12</v>
      </c>
      <c r="E346" s="25">
        <f t="shared" si="11"/>
        <v>2023</v>
      </c>
      <c r="F346" s="7" t="s">
        <v>71</v>
      </c>
      <c r="G346" s="4" t="s">
        <v>111</v>
      </c>
      <c r="H346" s="4" t="s">
        <v>119</v>
      </c>
      <c r="I346" s="9">
        <v>9749</v>
      </c>
      <c r="J346" s="9" t="s">
        <v>126</v>
      </c>
      <c r="K346" s="8">
        <v>45269</v>
      </c>
      <c r="L346" s="21">
        <v>9749</v>
      </c>
      <c r="M346" s="8"/>
      <c r="N346" s="21"/>
      <c r="O346" s="8"/>
      <c r="P346" s="21"/>
      <c r="Q346" s="8"/>
      <c r="R346" s="28"/>
    </row>
    <row r="347" spans="1:18">
      <c r="A347" s="1" t="s">
        <v>483</v>
      </c>
      <c r="B347" s="6" t="s">
        <v>49</v>
      </c>
      <c r="C347" s="7">
        <v>45398</v>
      </c>
      <c r="D347" s="25">
        <f t="shared" si="10"/>
        <v>4</v>
      </c>
      <c r="E347" s="25">
        <f t="shared" si="11"/>
        <v>2024</v>
      </c>
      <c r="F347" s="7" t="s">
        <v>98</v>
      </c>
      <c r="G347" s="4" t="s">
        <v>110</v>
      </c>
      <c r="H347" s="4" t="s">
        <v>125</v>
      </c>
      <c r="I347" s="9">
        <v>-7122</v>
      </c>
      <c r="J347" s="9" t="s">
        <v>138</v>
      </c>
      <c r="K347" s="8">
        <v>45399</v>
      </c>
      <c r="L347" s="21">
        <v>-3561</v>
      </c>
      <c r="M347" s="8">
        <v>45428</v>
      </c>
      <c r="N347" s="21">
        <v>-3561</v>
      </c>
      <c r="O347" s="8"/>
      <c r="P347" s="21"/>
      <c r="Q347" s="8"/>
      <c r="R347" s="28"/>
    </row>
    <row r="348" spans="1:18">
      <c r="A348" s="1" t="s">
        <v>484</v>
      </c>
      <c r="B348" s="6" t="s">
        <v>23</v>
      </c>
      <c r="C348" s="7">
        <v>45248</v>
      </c>
      <c r="D348" s="25">
        <f t="shared" si="10"/>
        <v>11</v>
      </c>
      <c r="E348" s="25">
        <f t="shared" si="11"/>
        <v>2023</v>
      </c>
      <c r="F348" s="7" t="s">
        <v>72</v>
      </c>
      <c r="G348" s="4" t="s">
        <v>110</v>
      </c>
      <c r="H348" s="4" t="s">
        <v>113</v>
      </c>
      <c r="I348" s="9">
        <v>-5829</v>
      </c>
      <c r="J348" s="9" t="s">
        <v>138</v>
      </c>
      <c r="K348" s="8">
        <v>45249</v>
      </c>
      <c r="L348" s="21">
        <v>-2914.5</v>
      </c>
      <c r="M348" s="8">
        <v>45278</v>
      </c>
      <c r="N348" s="21">
        <v>-2914.5</v>
      </c>
      <c r="O348" s="8"/>
      <c r="P348" s="21"/>
      <c r="Q348" s="8"/>
      <c r="R348" s="28"/>
    </row>
    <row r="349" spans="1:18">
      <c r="A349" s="1" t="s">
        <v>485</v>
      </c>
      <c r="B349" s="6" t="s">
        <v>15</v>
      </c>
      <c r="C349" s="7">
        <v>45197</v>
      </c>
      <c r="D349" s="25">
        <f t="shared" si="10"/>
        <v>9</v>
      </c>
      <c r="E349" s="25">
        <f t="shared" si="11"/>
        <v>2023</v>
      </c>
      <c r="F349" s="7" t="s">
        <v>64</v>
      </c>
      <c r="G349" s="4" t="s">
        <v>112</v>
      </c>
      <c r="H349" s="4" t="s">
        <v>123</v>
      </c>
      <c r="I349" s="9">
        <v>540</v>
      </c>
      <c r="J349" s="9" t="s">
        <v>126</v>
      </c>
      <c r="K349" s="8">
        <v>45198</v>
      </c>
      <c r="L349" s="21">
        <v>540</v>
      </c>
      <c r="M349" s="8"/>
      <c r="N349" s="21"/>
      <c r="O349" s="8"/>
      <c r="P349" s="21"/>
      <c r="Q349" s="8"/>
      <c r="R349" s="28"/>
    </row>
    <row r="350" spans="1:18">
      <c r="A350" s="1" t="s">
        <v>486</v>
      </c>
      <c r="B350" s="6" t="s">
        <v>59</v>
      </c>
      <c r="C350" s="7">
        <v>45176</v>
      </c>
      <c r="D350" s="25">
        <f t="shared" si="10"/>
        <v>9</v>
      </c>
      <c r="E350" s="25">
        <f t="shared" si="11"/>
        <v>2023</v>
      </c>
      <c r="F350" s="7" t="s">
        <v>108</v>
      </c>
      <c r="G350" s="4" t="s">
        <v>111</v>
      </c>
      <c r="H350" s="4" t="s">
        <v>121</v>
      </c>
      <c r="I350" s="9">
        <v>8984</v>
      </c>
      <c r="J350" s="9" t="s">
        <v>138</v>
      </c>
      <c r="K350" s="8">
        <v>45177</v>
      </c>
      <c r="L350" s="21">
        <v>4492</v>
      </c>
      <c r="M350" s="8">
        <v>45206</v>
      </c>
      <c r="N350" s="21">
        <v>4492</v>
      </c>
      <c r="O350" s="8"/>
      <c r="P350" s="21"/>
      <c r="Q350" s="8"/>
      <c r="R350" s="28"/>
    </row>
    <row r="351" spans="1:18">
      <c r="A351" s="1" t="s">
        <v>487</v>
      </c>
      <c r="B351" s="6" t="s">
        <v>27</v>
      </c>
      <c r="C351" s="7">
        <v>45202</v>
      </c>
      <c r="D351" s="25">
        <f t="shared" si="10"/>
        <v>10</v>
      </c>
      <c r="E351" s="25">
        <f t="shared" si="11"/>
        <v>2023</v>
      </c>
      <c r="F351" s="7" t="s">
        <v>76</v>
      </c>
      <c r="G351" s="4" t="s">
        <v>110</v>
      </c>
      <c r="H351" s="4" t="s">
        <v>125</v>
      </c>
      <c r="I351" s="9">
        <v>-6497</v>
      </c>
      <c r="J351" s="9" t="s">
        <v>126</v>
      </c>
      <c r="K351" s="8">
        <v>45203</v>
      </c>
      <c r="L351" s="21">
        <v>-6497</v>
      </c>
      <c r="M351" s="8"/>
      <c r="N351" s="21"/>
      <c r="O351" s="8"/>
      <c r="P351" s="21"/>
      <c r="Q351" s="8"/>
      <c r="R351" s="28"/>
    </row>
    <row r="352" spans="1:18">
      <c r="A352" s="1" t="s">
        <v>488</v>
      </c>
      <c r="B352" s="6" t="s">
        <v>14</v>
      </c>
      <c r="C352" s="7">
        <v>45461</v>
      </c>
      <c r="D352" s="25">
        <f t="shared" si="10"/>
        <v>6</v>
      </c>
      <c r="E352" s="25">
        <f t="shared" si="11"/>
        <v>2024</v>
      </c>
      <c r="F352" s="7" t="s">
        <v>61</v>
      </c>
      <c r="G352" s="4" t="s">
        <v>110</v>
      </c>
      <c r="H352" s="4" t="s">
        <v>113</v>
      </c>
      <c r="I352" s="9">
        <v>-758</v>
      </c>
      <c r="J352" s="9" t="s">
        <v>138</v>
      </c>
      <c r="K352" s="8">
        <v>45462</v>
      </c>
      <c r="L352" s="21">
        <v>-379</v>
      </c>
      <c r="M352" s="8">
        <v>45491</v>
      </c>
      <c r="N352" s="21">
        <v>-379</v>
      </c>
      <c r="O352" s="8"/>
      <c r="P352" s="21"/>
      <c r="Q352" s="8"/>
      <c r="R352" s="28"/>
    </row>
    <row r="353" spans="1:18">
      <c r="A353" s="1" t="s">
        <v>489</v>
      </c>
      <c r="B353" s="6" t="s">
        <v>24</v>
      </c>
      <c r="C353" s="7">
        <v>45379</v>
      </c>
      <c r="D353" s="25">
        <f t="shared" si="10"/>
        <v>3</v>
      </c>
      <c r="E353" s="25">
        <f t="shared" si="11"/>
        <v>2024</v>
      </c>
      <c r="F353" s="7" t="s">
        <v>73</v>
      </c>
      <c r="G353" s="4" t="s">
        <v>112</v>
      </c>
      <c r="H353" s="4" t="s">
        <v>122</v>
      </c>
      <c r="I353" s="9">
        <v>4543</v>
      </c>
      <c r="J353" s="9" t="s">
        <v>126</v>
      </c>
      <c r="K353" s="8">
        <v>45380</v>
      </c>
      <c r="L353" s="21">
        <v>4543</v>
      </c>
      <c r="M353" s="8"/>
      <c r="N353" s="21"/>
      <c r="O353" s="8"/>
      <c r="P353" s="21"/>
      <c r="Q353" s="8"/>
      <c r="R353" s="28"/>
    </row>
    <row r="354" spans="1:18">
      <c r="A354" s="1" t="s">
        <v>490</v>
      </c>
      <c r="B354" s="6" t="s">
        <v>28</v>
      </c>
      <c r="C354" s="7">
        <v>45199</v>
      </c>
      <c r="D354" s="25">
        <f t="shared" si="10"/>
        <v>9</v>
      </c>
      <c r="E354" s="25">
        <f t="shared" si="11"/>
        <v>2023</v>
      </c>
      <c r="F354" s="7" t="s">
        <v>77</v>
      </c>
      <c r="G354" s="4" t="s">
        <v>110</v>
      </c>
      <c r="H354" s="4" t="s">
        <v>114</v>
      </c>
      <c r="I354" s="9">
        <v>-7578</v>
      </c>
      <c r="J354" s="9" t="s">
        <v>126</v>
      </c>
      <c r="K354" s="8">
        <v>45200</v>
      </c>
      <c r="L354" s="21">
        <v>-7578</v>
      </c>
      <c r="M354" s="8"/>
      <c r="N354" s="21"/>
      <c r="O354" s="8"/>
      <c r="P354" s="21"/>
      <c r="Q354" s="8"/>
      <c r="R354" s="28"/>
    </row>
    <row r="355" spans="1:18">
      <c r="A355" s="1" t="s">
        <v>491</v>
      </c>
      <c r="B355" s="6" t="s">
        <v>19</v>
      </c>
      <c r="C355" s="7">
        <v>45243</v>
      </c>
      <c r="D355" s="25">
        <f t="shared" si="10"/>
        <v>11</v>
      </c>
      <c r="E355" s="25">
        <f t="shared" si="11"/>
        <v>2023</v>
      </c>
      <c r="F355" s="7" t="s">
        <v>68</v>
      </c>
      <c r="G355" s="4" t="s">
        <v>111</v>
      </c>
      <c r="H355" s="4" t="s">
        <v>118</v>
      </c>
      <c r="I355" s="9">
        <v>4592</v>
      </c>
      <c r="J355" s="9" t="s">
        <v>137</v>
      </c>
      <c r="K355" s="8">
        <v>45244</v>
      </c>
      <c r="L355" s="21">
        <v>1530.6666666666667</v>
      </c>
      <c r="M355" s="8">
        <v>45273</v>
      </c>
      <c r="N355" s="21">
        <v>1530.6666666666667</v>
      </c>
      <c r="O355" s="8">
        <v>45288</v>
      </c>
      <c r="P355" s="21">
        <v>1530.6666666666667</v>
      </c>
      <c r="Q355" s="8"/>
      <c r="R355" s="28"/>
    </row>
    <row r="356" spans="1:18">
      <c r="A356" s="1" t="s">
        <v>492</v>
      </c>
      <c r="B356" s="6" t="s">
        <v>37</v>
      </c>
      <c r="C356" s="7">
        <v>45183</v>
      </c>
      <c r="D356" s="25">
        <f t="shared" si="10"/>
        <v>9</v>
      </c>
      <c r="E356" s="25">
        <f t="shared" si="11"/>
        <v>2023</v>
      </c>
      <c r="F356" s="7" t="s">
        <v>86</v>
      </c>
      <c r="G356" s="4" t="s">
        <v>112</v>
      </c>
      <c r="H356" s="4" t="s">
        <v>123</v>
      </c>
      <c r="I356" s="9">
        <v>5792</v>
      </c>
      <c r="J356" s="9" t="s">
        <v>126</v>
      </c>
      <c r="K356" s="8">
        <v>45184</v>
      </c>
      <c r="L356" s="21">
        <v>5792</v>
      </c>
      <c r="M356" s="8"/>
      <c r="N356" s="21"/>
      <c r="O356" s="8"/>
      <c r="P356" s="21"/>
      <c r="Q356" s="8"/>
      <c r="R356" s="28"/>
    </row>
    <row r="357" spans="1:18">
      <c r="A357" s="1" t="s">
        <v>493</v>
      </c>
      <c r="B357" s="6" t="s">
        <v>57</v>
      </c>
      <c r="C357" s="7">
        <v>45311</v>
      </c>
      <c r="D357" s="25">
        <f t="shared" si="10"/>
        <v>1</v>
      </c>
      <c r="E357" s="25">
        <f t="shared" si="11"/>
        <v>2024</v>
      </c>
      <c r="F357" s="7" t="s">
        <v>106</v>
      </c>
      <c r="G357" s="4" t="s">
        <v>112</v>
      </c>
      <c r="H357" s="4" t="s">
        <v>122</v>
      </c>
      <c r="I357" s="9">
        <v>616</v>
      </c>
      <c r="J357" s="9" t="s">
        <v>126</v>
      </c>
      <c r="K357" s="8">
        <v>45312</v>
      </c>
      <c r="L357" s="21">
        <v>616</v>
      </c>
      <c r="M357" s="8"/>
      <c r="N357" s="21"/>
      <c r="O357" s="8"/>
      <c r="P357" s="21"/>
      <c r="Q357" s="8"/>
      <c r="R357" s="28"/>
    </row>
    <row r="358" spans="1:18">
      <c r="A358" s="1" t="s">
        <v>494</v>
      </c>
      <c r="B358" s="6" t="s">
        <v>21</v>
      </c>
      <c r="C358" s="7">
        <v>45478</v>
      </c>
      <c r="D358" s="25">
        <f t="shared" si="10"/>
        <v>7</v>
      </c>
      <c r="E358" s="25">
        <f t="shared" si="11"/>
        <v>2024</v>
      </c>
      <c r="F358" s="7" t="s">
        <v>70</v>
      </c>
      <c r="G358" s="4" t="s">
        <v>110</v>
      </c>
      <c r="H358" s="4" t="s">
        <v>124</v>
      </c>
      <c r="I358" s="9">
        <v>-4140</v>
      </c>
      <c r="J358" s="9" t="s">
        <v>126</v>
      </c>
      <c r="K358" s="8">
        <v>45479</v>
      </c>
      <c r="L358" s="21">
        <v>-4140</v>
      </c>
      <c r="M358" s="8"/>
      <c r="N358" s="21"/>
      <c r="O358" s="8"/>
      <c r="P358" s="21"/>
      <c r="Q358" s="8"/>
      <c r="R358" s="28"/>
    </row>
    <row r="359" spans="1:18">
      <c r="A359" s="1" t="s">
        <v>495</v>
      </c>
      <c r="B359" s="6" t="s">
        <v>30</v>
      </c>
      <c r="C359" s="7">
        <v>45252</v>
      </c>
      <c r="D359" s="25">
        <f t="shared" si="10"/>
        <v>11</v>
      </c>
      <c r="E359" s="25">
        <f t="shared" si="11"/>
        <v>2023</v>
      </c>
      <c r="F359" s="7" t="s">
        <v>79</v>
      </c>
      <c r="G359" s="4" t="s">
        <v>111</v>
      </c>
      <c r="H359" s="4" t="s">
        <v>118</v>
      </c>
      <c r="I359" s="9">
        <v>9229</v>
      </c>
      <c r="J359" s="9" t="s">
        <v>138</v>
      </c>
      <c r="K359" s="8">
        <v>45253</v>
      </c>
      <c r="L359" s="21">
        <v>4614.5</v>
      </c>
      <c r="M359" s="8">
        <v>45282</v>
      </c>
      <c r="N359" s="21">
        <v>4614.5</v>
      </c>
      <c r="O359" s="8"/>
      <c r="P359" s="21"/>
      <c r="Q359" s="8"/>
      <c r="R359" s="28"/>
    </row>
    <row r="360" spans="1:18">
      <c r="A360" s="1" t="s">
        <v>496</v>
      </c>
      <c r="B360" s="6" t="s">
        <v>16</v>
      </c>
      <c r="C360" s="7">
        <v>45061</v>
      </c>
      <c r="D360" s="25">
        <f t="shared" si="10"/>
        <v>5</v>
      </c>
      <c r="E360" s="25">
        <f t="shared" si="11"/>
        <v>2023</v>
      </c>
      <c r="F360" s="7" t="s">
        <v>65</v>
      </c>
      <c r="G360" s="4" t="s">
        <v>110</v>
      </c>
      <c r="H360" s="4" t="s">
        <v>125</v>
      </c>
      <c r="I360" s="9">
        <v>-3522</v>
      </c>
      <c r="J360" s="9" t="s">
        <v>138</v>
      </c>
      <c r="K360" s="8">
        <v>45062</v>
      </c>
      <c r="L360" s="21">
        <v>-1761</v>
      </c>
      <c r="M360" s="8">
        <v>45091</v>
      </c>
      <c r="N360" s="21">
        <v>-1761</v>
      </c>
      <c r="O360" s="8"/>
      <c r="P360" s="21"/>
      <c r="Q360" s="8"/>
      <c r="R360" s="28"/>
    </row>
    <row r="361" spans="1:18">
      <c r="A361" s="1" t="s">
        <v>497</v>
      </c>
      <c r="B361" s="6" t="s">
        <v>44</v>
      </c>
      <c r="C361" s="7">
        <v>45479</v>
      </c>
      <c r="D361" s="25">
        <f t="shared" si="10"/>
        <v>7</v>
      </c>
      <c r="E361" s="25">
        <f t="shared" si="11"/>
        <v>2024</v>
      </c>
      <c r="F361" s="7" t="s">
        <v>93</v>
      </c>
      <c r="G361" s="4" t="s">
        <v>111</v>
      </c>
      <c r="H361" s="4" t="s">
        <v>119</v>
      </c>
      <c r="I361" s="9">
        <v>7682</v>
      </c>
      <c r="J361" s="9" t="s">
        <v>126</v>
      </c>
      <c r="K361" s="8">
        <v>45480</v>
      </c>
      <c r="L361" s="21">
        <v>7682</v>
      </c>
      <c r="M361" s="8"/>
      <c r="N361" s="21"/>
      <c r="O361" s="8"/>
      <c r="P361" s="21"/>
      <c r="Q361" s="8"/>
      <c r="R361" s="28"/>
    </row>
    <row r="362" spans="1:18">
      <c r="A362" s="1" t="s">
        <v>498</v>
      </c>
      <c r="B362" s="6" t="s">
        <v>45</v>
      </c>
      <c r="C362" s="7">
        <v>45302</v>
      </c>
      <c r="D362" s="25">
        <f t="shared" si="10"/>
        <v>1</v>
      </c>
      <c r="E362" s="25">
        <f t="shared" si="11"/>
        <v>2024</v>
      </c>
      <c r="F362" s="7" t="s">
        <v>94</v>
      </c>
      <c r="G362" s="4" t="s">
        <v>110</v>
      </c>
      <c r="H362" s="4" t="s">
        <v>113</v>
      </c>
      <c r="I362" s="9">
        <v>-1237</v>
      </c>
      <c r="J362" s="9" t="s">
        <v>138</v>
      </c>
      <c r="K362" s="8">
        <v>45303</v>
      </c>
      <c r="L362" s="21">
        <v>-618.5</v>
      </c>
      <c r="M362" s="8">
        <v>45332</v>
      </c>
      <c r="N362" s="21">
        <v>-618.5</v>
      </c>
      <c r="O362" s="8"/>
      <c r="P362" s="21"/>
      <c r="Q362" s="8"/>
      <c r="R362" s="28"/>
    </row>
    <row r="363" spans="1:18">
      <c r="A363" s="1" t="s">
        <v>499</v>
      </c>
      <c r="B363" s="6" t="s">
        <v>33</v>
      </c>
      <c r="C363" s="7">
        <v>45313</v>
      </c>
      <c r="D363" s="25">
        <f t="shared" si="10"/>
        <v>1</v>
      </c>
      <c r="E363" s="25">
        <f t="shared" si="11"/>
        <v>2024</v>
      </c>
      <c r="F363" s="7" t="s">
        <v>82</v>
      </c>
      <c r="G363" s="4" t="s">
        <v>111</v>
      </c>
      <c r="H363" s="4" t="s">
        <v>119</v>
      </c>
      <c r="I363" s="9">
        <v>6432</v>
      </c>
      <c r="J363" s="9" t="s">
        <v>136</v>
      </c>
      <c r="K363" s="8">
        <v>45314</v>
      </c>
      <c r="L363" s="21">
        <v>1608</v>
      </c>
      <c r="M363" s="8">
        <v>45343</v>
      </c>
      <c r="N363" s="21">
        <v>1608</v>
      </c>
      <c r="O363" s="8">
        <v>45358</v>
      </c>
      <c r="P363" s="21">
        <v>1608</v>
      </c>
      <c r="Q363" s="8">
        <v>45373</v>
      </c>
      <c r="R363" s="28">
        <v>1608</v>
      </c>
    </row>
    <row r="364" spans="1:18">
      <c r="A364" s="1" t="s">
        <v>500</v>
      </c>
      <c r="B364" s="6" t="s">
        <v>52</v>
      </c>
      <c r="C364" s="7">
        <v>45357</v>
      </c>
      <c r="D364" s="25">
        <f t="shared" si="10"/>
        <v>3</v>
      </c>
      <c r="E364" s="25">
        <f t="shared" si="11"/>
        <v>2024</v>
      </c>
      <c r="F364" s="7" t="s">
        <v>101</v>
      </c>
      <c r="G364" s="4" t="s">
        <v>111</v>
      </c>
      <c r="H364" s="4" t="s">
        <v>118</v>
      </c>
      <c r="I364" s="9">
        <v>3676</v>
      </c>
      <c r="J364" s="9" t="s">
        <v>137</v>
      </c>
      <c r="K364" s="8">
        <v>45358</v>
      </c>
      <c r="L364" s="21">
        <v>1225.3333333333333</v>
      </c>
      <c r="M364" s="8">
        <v>45387</v>
      </c>
      <c r="N364" s="21">
        <v>1225.3333333333333</v>
      </c>
      <c r="O364" s="8">
        <v>45402</v>
      </c>
      <c r="P364" s="21">
        <v>1225.3333333333333</v>
      </c>
      <c r="Q364" s="8"/>
      <c r="R364" s="28"/>
    </row>
    <row r="365" spans="1:18">
      <c r="A365" s="1" t="s">
        <v>501</v>
      </c>
      <c r="B365" s="6" t="s">
        <v>55</v>
      </c>
      <c r="C365" s="7">
        <v>45550</v>
      </c>
      <c r="D365" s="25">
        <f t="shared" si="10"/>
        <v>9</v>
      </c>
      <c r="E365" s="25">
        <f t="shared" si="11"/>
        <v>2024</v>
      </c>
      <c r="F365" s="7" t="s">
        <v>104</v>
      </c>
      <c r="G365" s="4" t="s">
        <v>111</v>
      </c>
      <c r="H365" s="4" t="s">
        <v>119</v>
      </c>
      <c r="I365" s="9">
        <v>2707</v>
      </c>
      <c r="J365" s="9" t="s">
        <v>136</v>
      </c>
      <c r="K365" s="8">
        <v>45551</v>
      </c>
      <c r="L365" s="21">
        <v>676.75</v>
      </c>
      <c r="M365" s="8">
        <v>45580</v>
      </c>
      <c r="N365" s="21">
        <v>676.75</v>
      </c>
      <c r="O365" s="8">
        <v>45595</v>
      </c>
      <c r="P365" s="21">
        <v>676.75</v>
      </c>
      <c r="Q365" s="8">
        <v>45610</v>
      </c>
      <c r="R365" s="28">
        <v>676.75</v>
      </c>
    </row>
    <row r="366" spans="1:18">
      <c r="A366" s="1" t="s">
        <v>502</v>
      </c>
      <c r="B366" s="6" t="s">
        <v>47</v>
      </c>
      <c r="C366" s="7">
        <v>45153</v>
      </c>
      <c r="D366" s="25">
        <f t="shared" si="10"/>
        <v>8</v>
      </c>
      <c r="E366" s="25">
        <f t="shared" si="11"/>
        <v>2023</v>
      </c>
      <c r="F366" s="7" t="s">
        <v>96</v>
      </c>
      <c r="G366" s="4" t="s">
        <v>111</v>
      </c>
      <c r="H366" s="4" t="s">
        <v>120</v>
      </c>
      <c r="I366" s="9">
        <v>4611</v>
      </c>
      <c r="J366" s="9" t="s">
        <v>136</v>
      </c>
      <c r="K366" s="8">
        <v>45154</v>
      </c>
      <c r="L366" s="21">
        <v>1152.75</v>
      </c>
      <c r="M366" s="8">
        <v>45183</v>
      </c>
      <c r="N366" s="21">
        <v>1152.75</v>
      </c>
      <c r="O366" s="8">
        <v>45198</v>
      </c>
      <c r="P366" s="21">
        <v>1152.75</v>
      </c>
      <c r="Q366" s="8">
        <v>45213</v>
      </c>
      <c r="R366" s="28">
        <v>1152.75</v>
      </c>
    </row>
    <row r="367" spans="1:18">
      <c r="A367" s="1" t="s">
        <v>503</v>
      </c>
      <c r="B367" s="6" t="s">
        <v>57</v>
      </c>
      <c r="C367" s="7">
        <v>45503</v>
      </c>
      <c r="D367" s="25">
        <f t="shared" si="10"/>
        <v>7</v>
      </c>
      <c r="E367" s="25">
        <f t="shared" si="11"/>
        <v>2024</v>
      </c>
      <c r="F367" s="7" t="s">
        <v>106</v>
      </c>
      <c r="G367" s="4" t="s">
        <v>112</v>
      </c>
      <c r="H367" s="4" t="s">
        <v>122</v>
      </c>
      <c r="I367" s="9">
        <v>7421</v>
      </c>
      <c r="J367" s="9" t="s">
        <v>126</v>
      </c>
      <c r="K367" s="8">
        <v>45504</v>
      </c>
      <c r="L367" s="21">
        <v>7421</v>
      </c>
      <c r="M367" s="8"/>
      <c r="N367" s="21"/>
      <c r="O367" s="8"/>
      <c r="P367" s="21"/>
      <c r="Q367" s="8"/>
      <c r="R367" s="28"/>
    </row>
    <row r="368" spans="1:18">
      <c r="A368" s="1" t="s">
        <v>504</v>
      </c>
      <c r="B368" s="6" t="s">
        <v>34</v>
      </c>
      <c r="C368" s="7">
        <v>45194</v>
      </c>
      <c r="D368" s="25">
        <f t="shared" si="10"/>
        <v>9</v>
      </c>
      <c r="E368" s="25">
        <f t="shared" si="11"/>
        <v>2023</v>
      </c>
      <c r="F368" s="7" t="s">
        <v>83</v>
      </c>
      <c r="G368" s="4" t="s">
        <v>110</v>
      </c>
      <c r="H368" s="4" t="s">
        <v>113</v>
      </c>
      <c r="I368" s="9">
        <v>-9599</v>
      </c>
      <c r="J368" s="9" t="s">
        <v>126</v>
      </c>
      <c r="K368" s="8">
        <v>45195</v>
      </c>
      <c r="L368" s="21">
        <v>-9599</v>
      </c>
      <c r="M368" s="8"/>
      <c r="N368" s="21"/>
      <c r="O368" s="8"/>
      <c r="P368" s="21"/>
      <c r="Q368" s="8"/>
      <c r="R368" s="28"/>
    </row>
    <row r="369" spans="1:18">
      <c r="A369" s="1" t="s">
        <v>505</v>
      </c>
      <c r="B369" s="6" t="s">
        <v>13</v>
      </c>
      <c r="C369" s="7">
        <v>45314</v>
      </c>
      <c r="D369" s="25">
        <f t="shared" si="10"/>
        <v>1</v>
      </c>
      <c r="E369" s="25">
        <f t="shared" si="11"/>
        <v>2024</v>
      </c>
      <c r="F369" s="7" t="s">
        <v>63</v>
      </c>
      <c r="G369" s="4" t="s">
        <v>111</v>
      </c>
      <c r="H369" s="4" t="s">
        <v>120</v>
      </c>
      <c r="I369" s="9">
        <v>5255</v>
      </c>
      <c r="J369" s="9" t="s">
        <v>138</v>
      </c>
      <c r="K369" s="8">
        <v>45315</v>
      </c>
      <c r="L369" s="21">
        <v>2627.5</v>
      </c>
      <c r="M369" s="8">
        <v>45344</v>
      </c>
      <c r="N369" s="21">
        <v>2627.5</v>
      </c>
      <c r="O369" s="8"/>
      <c r="P369" s="21"/>
      <c r="Q369" s="8"/>
      <c r="R369" s="28"/>
    </row>
    <row r="370" spans="1:18">
      <c r="A370" s="1" t="s">
        <v>506</v>
      </c>
      <c r="B370" s="6" t="s">
        <v>34</v>
      </c>
      <c r="C370" s="7">
        <v>45164</v>
      </c>
      <c r="D370" s="25">
        <f t="shared" si="10"/>
        <v>8</v>
      </c>
      <c r="E370" s="25">
        <f t="shared" si="11"/>
        <v>2023</v>
      </c>
      <c r="F370" s="7" t="s">
        <v>83</v>
      </c>
      <c r="G370" s="4" t="s">
        <v>110</v>
      </c>
      <c r="H370" s="4" t="s">
        <v>113</v>
      </c>
      <c r="I370" s="9">
        <v>-3320</v>
      </c>
      <c r="J370" s="9" t="s">
        <v>137</v>
      </c>
      <c r="K370" s="8">
        <v>45165</v>
      </c>
      <c r="L370" s="21">
        <v>-1106.6666666666667</v>
      </c>
      <c r="M370" s="8">
        <v>45194</v>
      </c>
      <c r="N370" s="21">
        <v>-1106.6666666666667</v>
      </c>
      <c r="O370" s="8">
        <v>45209</v>
      </c>
      <c r="P370" s="21">
        <v>-1106.6666666666667</v>
      </c>
      <c r="Q370" s="8"/>
      <c r="R370" s="28"/>
    </row>
    <row r="371" spans="1:18">
      <c r="A371" s="1" t="s">
        <v>507</v>
      </c>
      <c r="B371" s="6" t="s">
        <v>45</v>
      </c>
      <c r="C371" s="7">
        <v>45041</v>
      </c>
      <c r="D371" s="25">
        <f t="shared" si="10"/>
        <v>4</v>
      </c>
      <c r="E371" s="25">
        <f t="shared" si="11"/>
        <v>2023</v>
      </c>
      <c r="F371" s="7" t="s">
        <v>94</v>
      </c>
      <c r="G371" s="4" t="s">
        <v>110</v>
      </c>
      <c r="H371" s="4" t="s">
        <v>113</v>
      </c>
      <c r="I371" s="9">
        <v>-7447</v>
      </c>
      <c r="J371" s="9" t="s">
        <v>126</v>
      </c>
      <c r="K371" s="8">
        <v>45042</v>
      </c>
      <c r="L371" s="21">
        <v>-7447</v>
      </c>
      <c r="M371" s="8"/>
      <c r="N371" s="21"/>
      <c r="O371" s="8"/>
      <c r="P371" s="21"/>
      <c r="Q371" s="8"/>
      <c r="R371" s="28"/>
    </row>
    <row r="372" spans="1:18">
      <c r="A372" s="1" t="s">
        <v>508</v>
      </c>
      <c r="B372" s="6" t="s">
        <v>48</v>
      </c>
      <c r="C372" s="7">
        <v>45516</v>
      </c>
      <c r="D372" s="25">
        <f t="shared" si="10"/>
        <v>8</v>
      </c>
      <c r="E372" s="25">
        <f t="shared" si="11"/>
        <v>2024</v>
      </c>
      <c r="F372" s="7" t="s">
        <v>97</v>
      </c>
      <c r="G372" s="4" t="s">
        <v>112</v>
      </c>
      <c r="H372" s="4" t="s">
        <v>123</v>
      </c>
      <c r="I372" s="9">
        <v>3383</v>
      </c>
      <c r="J372" s="9" t="s">
        <v>126</v>
      </c>
      <c r="K372" s="8">
        <v>45517</v>
      </c>
      <c r="L372" s="21">
        <v>3383</v>
      </c>
      <c r="M372" s="8"/>
      <c r="N372" s="21"/>
      <c r="O372" s="8"/>
      <c r="P372" s="21"/>
      <c r="Q372" s="8"/>
      <c r="R372" s="28"/>
    </row>
    <row r="373" spans="1:18">
      <c r="A373" s="1" t="s">
        <v>509</v>
      </c>
      <c r="B373" s="6" t="s">
        <v>16</v>
      </c>
      <c r="C373" s="7">
        <v>45319</v>
      </c>
      <c r="D373" s="25">
        <f t="shared" si="10"/>
        <v>1</v>
      </c>
      <c r="E373" s="25">
        <f t="shared" si="11"/>
        <v>2024</v>
      </c>
      <c r="F373" s="7" t="s">
        <v>65</v>
      </c>
      <c r="G373" s="4" t="s">
        <v>110</v>
      </c>
      <c r="H373" s="4" t="s">
        <v>125</v>
      </c>
      <c r="I373" s="9">
        <v>-4137</v>
      </c>
      <c r="J373" s="9" t="s">
        <v>136</v>
      </c>
      <c r="K373" s="8">
        <v>45320</v>
      </c>
      <c r="L373" s="21">
        <v>-1034.25</v>
      </c>
      <c r="M373" s="8">
        <v>45349</v>
      </c>
      <c r="N373" s="21">
        <v>-1034.25</v>
      </c>
      <c r="O373" s="8">
        <v>45364</v>
      </c>
      <c r="P373" s="21">
        <v>-1034.25</v>
      </c>
      <c r="Q373" s="8">
        <v>45379</v>
      </c>
      <c r="R373" s="28">
        <v>-1034.25</v>
      </c>
    </row>
    <row r="374" spans="1:18">
      <c r="A374" s="1" t="s">
        <v>510</v>
      </c>
      <c r="B374" s="6" t="s">
        <v>17</v>
      </c>
      <c r="C374" s="7">
        <v>45095</v>
      </c>
      <c r="D374" s="25">
        <f t="shared" si="10"/>
        <v>6</v>
      </c>
      <c r="E374" s="25">
        <f t="shared" si="11"/>
        <v>2023</v>
      </c>
      <c r="F374" s="7" t="s">
        <v>66</v>
      </c>
      <c r="G374" s="4" t="s">
        <v>110</v>
      </c>
      <c r="H374" s="4" t="s">
        <v>114</v>
      </c>
      <c r="I374" s="9">
        <v>-9391</v>
      </c>
      <c r="J374" s="9" t="s">
        <v>126</v>
      </c>
      <c r="K374" s="8">
        <v>45096</v>
      </c>
      <c r="L374" s="21">
        <v>-9391</v>
      </c>
      <c r="M374" s="8"/>
      <c r="N374" s="21"/>
      <c r="O374" s="8"/>
      <c r="P374" s="21"/>
      <c r="Q374" s="8"/>
      <c r="R374" s="28"/>
    </row>
    <row r="375" spans="1:18">
      <c r="A375" s="1" t="s">
        <v>511</v>
      </c>
      <c r="B375" s="6" t="s">
        <v>12</v>
      </c>
      <c r="C375" s="7">
        <v>45061</v>
      </c>
      <c r="D375" s="25">
        <f t="shared" si="10"/>
        <v>5</v>
      </c>
      <c r="E375" s="25">
        <f t="shared" si="11"/>
        <v>2023</v>
      </c>
      <c r="F375" s="7" t="s">
        <v>62</v>
      </c>
      <c r="G375" s="4" t="s">
        <v>112</v>
      </c>
      <c r="H375" s="4" t="s">
        <v>122</v>
      </c>
      <c r="I375" s="9">
        <v>8548</v>
      </c>
      <c r="J375" s="9" t="s">
        <v>126</v>
      </c>
      <c r="K375" s="8">
        <v>45062</v>
      </c>
      <c r="L375" s="21">
        <v>8548</v>
      </c>
      <c r="M375" s="8"/>
      <c r="N375" s="21"/>
      <c r="O375" s="8"/>
      <c r="P375" s="21"/>
      <c r="Q375" s="8"/>
      <c r="R375" s="28"/>
    </row>
    <row r="376" spans="1:18">
      <c r="A376" s="1" t="s">
        <v>512</v>
      </c>
      <c r="B376" s="6" t="s">
        <v>57</v>
      </c>
      <c r="C376" s="7">
        <v>45122</v>
      </c>
      <c r="D376" s="25">
        <f t="shared" si="10"/>
        <v>7</v>
      </c>
      <c r="E376" s="25">
        <f t="shared" si="11"/>
        <v>2023</v>
      </c>
      <c r="F376" s="7" t="s">
        <v>106</v>
      </c>
      <c r="G376" s="4" t="s">
        <v>112</v>
      </c>
      <c r="H376" s="4" t="s">
        <v>122</v>
      </c>
      <c r="I376" s="9">
        <v>8952</v>
      </c>
      <c r="J376" s="9" t="s">
        <v>126</v>
      </c>
      <c r="K376" s="8">
        <v>45123</v>
      </c>
      <c r="L376" s="21">
        <v>8952</v>
      </c>
      <c r="M376" s="8"/>
      <c r="N376" s="21"/>
      <c r="O376" s="8"/>
      <c r="P376" s="21"/>
      <c r="Q376" s="8"/>
      <c r="R376" s="28"/>
    </row>
    <row r="377" spans="1:18">
      <c r="A377" s="1" t="s">
        <v>513</v>
      </c>
      <c r="B377" s="6" t="s">
        <v>50</v>
      </c>
      <c r="C377" s="7">
        <v>45364</v>
      </c>
      <c r="D377" s="25">
        <f t="shared" si="10"/>
        <v>3</v>
      </c>
      <c r="E377" s="25">
        <f t="shared" si="11"/>
        <v>2024</v>
      </c>
      <c r="F377" s="7" t="s">
        <v>99</v>
      </c>
      <c r="G377" s="4" t="s">
        <v>110</v>
      </c>
      <c r="H377" s="4" t="s">
        <v>114</v>
      </c>
      <c r="I377" s="9">
        <v>-2638</v>
      </c>
      <c r="J377" s="9" t="s">
        <v>136</v>
      </c>
      <c r="K377" s="8">
        <v>45365</v>
      </c>
      <c r="L377" s="21">
        <v>-659.5</v>
      </c>
      <c r="M377" s="8">
        <v>45394</v>
      </c>
      <c r="N377" s="21">
        <v>-659.5</v>
      </c>
      <c r="O377" s="8">
        <v>45409</v>
      </c>
      <c r="P377" s="21">
        <v>-659.5</v>
      </c>
      <c r="Q377" s="8">
        <v>45424</v>
      </c>
      <c r="R377" s="28">
        <v>-659.5</v>
      </c>
    </row>
    <row r="378" spans="1:18">
      <c r="A378" s="1" t="s">
        <v>514</v>
      </c>
      <c r="B378" s="6" t="s">
        <v>36</v>
      </c>
      <c r="C378" s="7">
        <v>45218</v>
      </c>
      <c r="D378" s="25">
        <f t="shared" si="10"/>
        <v>10</v>
      </c>
      <c r="E378" s="25">
        <f t="shared" si="11"/>
        <v>2023</v>
      </c>
      <c r="F378" s="7" t="s">
        <v>85</v>
      </c>
      <c r="G378" s="4" t="s">
        <v>111</v>
      </c>
      <c r="H378" s="4" t="s">
        <v>120</v>
      </c>
      <c r="I378" s="9">
        <v>5176</v>
      </c>
      <c r="J378" s="9" t="s">
        <v>138</v>
      </c>
      <c r="K378" s="8">
        <v>45219</v>
      </c>
      <c r="L378" s="21">
        <v>2588</v>
      </c>
      <c r="M378" s="8">
        <v>45248</v>
      </c>
      <c r="N378" s="21">
        <v>2588</v>
      </c>
      <c r="O378" s="8"/>
      <c r="P378" s="21"/>
      <c r="Q378" s="8"/>
      <c r="R378" s="28"/>
    </row>
    <row r="379" spans="1:18">
      <c r="A379" s="1" t="s">
        <v>515</v>
      </c>
      <c r="B379" s="6" t="s">
        <v>12</v>
      </c>
      <c r="C379" s="7">
        <v>45145</v>
      </c>
      <c r="D379" s="25">
        <f t="shared" si="10"/>
        <v>8</v>
      </c>
      <c r="E379" s="25">
        <f t="shared" si="11"/>
        <v>2023</v>
      </c>
      <c r="F379" s="7" t="s">
        <v>62</v>
      </c>
      <c r="G379" s="4" t="s">
        <v>112</v>
      </c>
      <c r="H379" s="4" t="s">
        <v>122</v>
      </c>
      <c r="I379" s="9">
        <v>7900</v>
      </c>
      <c r="J379" s="9" t="s">
        <v>126</v>
      </c>
      <c r="K379" s="8">
        <v>45146</v>
      </c>
      <c r="L379" s="21">
        <v>7900</v>
      </c>
      <c r="M379" s="8"/>
      <c r="N379" s="21"/>
      <c r="O379" s="8"/>
      <c r="P379" s="21"/>
      <c r="Q379" s="8"/>
      <c r="R379" s="28"/>
    </row>
    <row r="380" spans="1:18">
      <c r="A380" s="1" t="s">
        <v>516</v>
      </c>
      <c r="B380" s="6" t="s">
        <v>42</v>
      </c>
      <c r="C380" s="7">
        <v>45159</v>
      </c>
      <c r="D380" s="25">
        <f t="shared" si="10"/>
        <v>8</v>
      </c>
      <c r="E380" s="25">
        <f t="shared" si="11"/>
        <v>2023</v>
      </c>
      <c r="F380" s="7" t="s">
        <v>91</v>
      </c>
      <c r="G380" s="4" t="s">
        <v>111</v>
      </c>
      <c r="H380" s="4" t="s">
        <v>117</v>
      </c>
      <c r="I380" s="9">
        <v>7627</v>
      </c>
      <c r="J380" s="9" t="s">
        <v>137</v>
      </c>
      <c r="K380" s="8">
        <v>45160</v>
      </c>
      <c r="L380" s="21">
        <v>2542.3333333333335</v>
      </c>
      <c r="M380" s="8">
        <v>45189</v>
      </c>
      <c r="N380" s="21">
        <v>2542.3333333333335</v>
      </c>
      <c r="O380" s="8">
        <v>45204</v>
      </c>
      <c r="P380" s="21">
        <v>2542.3333333333335</v>
      </c>
      <c r="Q380" s="8"/>
      <c r="R380" s="28"/>
    </row>
    <row r="381" spans="1:18">
      <c r="A381" s="1" t="s">
        <v>517</v>
      </c>
      <c r="B381" s="6" t="s">
        <v>57</v>
      </c>
      <c r="C381" s="7">
        <v>45283</v>
      </c>
      <c r="D381" s="25">
        <f t="shared" si="10"/>
        <v>12</v>
      </c>
      <c r="E381" s="25">
        <f t="shared" si="11"/>
        <v>2023</v>
      </c>
      <c r="F381" s="7" t="s">
        <v>106</v>
      </c>
      <c r="G381" s="4" t="s">
        <v>112</v>
      </c>
      <c r="H381" s="4" t="s">
        <v>122</v>
      </c>
      <c r="I381" s="9">
        <v>1758</v>
      </c>
      <c r="J381" s="9" t="s">
        <v>126</v>
      </c>
      <c r="K381" s="8">
        <v>45284</v>
      </c>
      <c r="L381" s="21">
        <v>1758</v>
      </c>
      <c r="M381" s="8"/>
      <c r="N381" s="21"/>
      <c r="O381" s="8"/>
      <c r="P381" s="21"/>
      <c r="Q381" s="8"/>
      <c r="R381" s="28"/>
    </row>
    <row r="382" spans="1:18">
      <c r="A382" s="1" t="s">
        <v>518</v>
      </c>
      <c r="B382" s="6" t="s">
        <v>48</v>
      </c>
      <c r="C382" s="7">
        <v>45297</v>
      </c>
      <c r="D382" s="25">
        <f t="shared" si="10"/>
        <v>1</v>
      </c>
      <c r="E382" s="25">
        <f t="shared" si="11"/>
        <v>2024</v>
      </c>
      <c r="F382" s="7" t="s">
        <v>97</v>
      </c>
      <c r="G382" s="4" t="s">
        <v>112</v>
      </c>
      <c r="H382" s="4" t="s">
        <v>123</v>
      </c>
      <c r="I382" s="9">
        <v>5753</v>
      </c>
      <c r="J382" s="9" t="s">
        <v>126</v>
      </c>
      <c r="K382" s="8">
        <v>45298</v>
      </c>
      <c r="L382" s="21">
        <v>5753</v>
      </c>
      <c r="M382" s="8"/>
      <c r="N382" s="21"/>
      <c r="O382" s="8"/>
      <c r="P382" s="21"/>
      <c r="Q382" s="8"/>
      <c r="R382" s="28"/>
    </row>
    <row r="383" spans="1:18">
      <c r="A383" s="1" t="s">
        <v>519</v>
      </c>
      <c r="B383" s="6" t="s">
        <v>52</v>
      </c>
      <c r="C383" s="7">
        <v>45398</v>
      </c>
      <c r="D383" s="25">
        <f t="shared" si="10"/>
        <v>4</v>
      </c>
      <c r="E383" s="25">
        <f t="shared" si="11"/>
        <v>2024</v>
      </c>
      <c r="F383" s="7" t="s">
        <v>101</v>
      </c>
      <c r="G383" s="4" t="s">
        <v>111</v>
      </c>
      <c r="H383" s="4" t="s">
        <v>118</v>
      </c>
      <c r="I383" s="9">
        <v>7056</v>
      </c>
      <c r="J383" s="9" t="s">
        <v>137</v>
      </c>
      <c r="K383" s="8">
        <v>45399</v>
      </c>
      <c r="L383" s="21">
        <v>2352</v>
      </c>
      <c r="M383" s="8">
        <v>45428</v>
      </c>
      <c r="N383" s="21">
        <v>2352</v>
      </c>
      <c r="O383" s="8">
        <v>45443</v>
      </c>
      <c r="P383" s="21">
        <v>2352</v>
      </c>
      <c r="Q383" s="8"/>
      <c r="R383" s="28"/>
    </row>
    <row r="384" spans="1:18">
      <c r="A384" s="1" t="s">
        <v>520</v>
      </c>
      <c r="B384" s="6" t="s">
        <v>35</v>
      </c>
      <c r="C384" s="7">
        <v>45551</v>
      </c>
      <c r="D384" s="25">
        <f t="shared" si="10"/>
        <v>9</v>
      </c>
      <c r="E384" s="25">
        <f t="shared" si="11"/>
        <v>2024</v>
      </c>
      <c r="F384" s="7" t="s">
        <v>84</v>
      </c>
      <c r="G384" s="4" t="s">
        <v>112</v>
      </c>
      <c r="H384" s="4" t="s">
        <v>122</v>
      </c>
      <c r="I384" s="9">
        <v>2451</v>
      </c>
      <c r="J384" s="9" t="s">
        <v>126</v>
      </c>
      <c r="K384" s="8">
        <v>45552</v>
      </c>
      <c r="L384" s="21">
        <v>2451</v>
      </c>
      <c r="M384" s="8"/>
      <c r="N384" s="21"/>
      <c r="O384" s="8"/>
      <c r="P384" s="21"/>
      <c r="Q384" s="8"/>
      <c r="R384" s="28"/>
    </row>
    <row r="385" spans="1:18">
      <c r="A385" s="1" t="s">
        <v>521</v>
      </c>
      <c r="B385" s="6" t="s">
        <v>41</v>
      </c>
      <c r="C385" s="7">
        <v>45276</v>
      </c>
      <c r="D385" s="25">
        <f t="shared" si="10"/>
        <v>12</v>
      </c>
      <c r="E385" s="25">
        <f t="shared" si="11"/>
        <v>2023</v>
      </c>
      <c r="F385" s="7" t="s">
        <v>90</v>
      </c>
      <c r="G385" s="4" t="s">
        <v>111</v>
      </c>
      <c r="H385" s="4" t="s">
        <v>118</v>
      </c>
      <c r="I385" s="9">
        <v>4909</v>
      </c>
      <c r="J385" s="9" t="s">
        <v>136</v>
      </c>
      <c r="K385" s="8">
        <v>45277</v>
      </c>
      <c r="L385" s="21">
        <v>1227.25</v>
      </c>
      <c r="M385" s="8">
        <v>45306</v>
      </c>
      <c r="N385" s="21">
        <v>1227.25</v>
      </c>
      <c r="O385" s="8">
        <v>45321</v>
      </c>
      <c r="P385" s="21">
        <v>1227.25</v>
      </c>
      <c r="Q385" s="8">
        <v>45336</v>
      </c>
      <c r="R385" s="28">
        <v>1227.25</v>
      </c>
    </row>
    <row r="386" spans="1:18">
      <c r="A386" s="1" t="s">
        <v>522</v>
      </c>
      <c r="B386" s="6" t="s">
        <v>39</v>
      </c>
      <c r="C386" s="7">
        <v>45300</v>
      </c>
      <c r="D386" s="25">
        <f t="shared" si="10"/>
        <v>1</v>
      </c>
      <c r="E386" s="25">
        <f t="shared" si="11"/>
        <v>2024</v>
      </c>
      <c r="F386" s="7" t="s">
        <v>88</v>
      </c>
      <c r="G386" s="4" t="s">
        <v>110</v>
      </c>
      <c r="H386" s="4" t="s">
        <v>114</v>
      </c>
      <c r="I386" s="9">
        <v>-443</v>
      </c>
      <c r="J386" s="9" t="s">
        <v>137</v>
      </c>
      <c r="K386" s="8">
        <v>45301</v>
      </c>
      <c r="L386" s="21">
        <v>-147.66666666666666</v>
      </c>
      <c r="M386" s="8">
        <v>45330</v>
      </c>
      <c r="N386" s="21">
        <v>-147.66666666666666</v>
      </c>
      <c r="O386" s="8">
        <v>45345</v>
      </c>
      <c r="P386" s="21">
        <v>-147.66666666666666</v>
      </c>
      <c r="Q386" s="8"/>
      <c r="R386" s="28"/>
    </row>
    <row r="387" spans="1:18">
      <c r="A387" s="1" t="s">
        <v>523</v>
      </c>
      <c r="B387" s="6" t="s">
        <v>37</v>
      </c>
      <c r="C387" s="7">
        <v>45370</v>
      </c>
      <c r="D387" s="25">
        <f t="shared" si="10"/>
        <v>3</v>
      </c>
      <c r="E387" s="25">
        <f t="shared" si="11"/>
        <v>2024</v>
      </c>
      <c r="F387" s="7" t="s">
        <v>86</v>
      </c>
      <c r="G387" s="4" t="s">
        <v>112</v>
      </c>
      <c r="H387" s="4" t="s">
        <v>123</v>
      </c>
      <c r="I387" s="9">
        <v>3426</v>
      </c>
      <c r="J387" s="9" t="s">
        <v>126</v>
      </c>
      <c r="K387" s="8">
        <v>45371</v>
      </c>
      <c r="L387" s="21">
        <v>3426</v>
      </c>
      <c r="M387" s="8"/>
      <c r="N387" s="21"/>
      <c r="O387" s="8"/>
      <c r="P387" s="21"/>
      <c r="Q387" s="8"/>
      <c r="R387" s="28"/>
    </row>
    <row r="388" spans="1:18">
      <c r="A388" s="1" t="s">
        <v>524</v>
      </c>
      <c r="B388" s="6" t="s">
        <v>32</v>
      </c>
      <c r="C388" s="7">
        <v>45203</v>
      </c>
      <c r="D388" s="25">
        <f t="shared" ref="D388:D451" si="12">MONTH(C388)</f>
        <v>10</v>
      </c>
      <c r="E388" s="25">
        <f t="shared" ref="E388:E451" si="13">YEAR(C388)</f>
        <v>2023</v>
      </c>
      <c r="F388" s="7" t="s">
        <v>81</v>
      </c>
      <c r="G388" s="4" t="s">
        <v>110</v>
      </c>
      <c r="H388" s="4" t="s">
        <v>124</v>
      </c>
      <c r="I388" s="9">
        <v>-6332</v>
      </c>
      <c r="J388" s="9" t="s">
        <v>138</v>
      </c>
      <c r="K388" s="8">
        <v>45204</v>
      </c>
      <c r="L388" s="21">
        <v>-3166</v>
      </c>
      <c r="M388" s="8">
        <v>45233</v>
      </c>
      <c r="N388" s="21">
        <v>-3166</v>
      </c>
      <c r="O388" s="8"/>
      <c r="P388" s="21"/>
      <c r="Q388" s="8"/>
      <c r="R388" s="28"/>
    </row>
    <row r="389" spans="1:18">
      <c r="A389" s="1" t="s">
        <v>525</v>
      </c>
      <c r="B389" s="6" t="s">
        <v>18</v>
      </c>
      <c r="C389" s="7">
        <v>45124</v>
      </c>
      <c r="D389" s="25">
        <f t="shared" si="12"/>
        <v>7</v>
      </c>
      <c r="E389" s="25">
        <f t="shared" si="13"/>
        <v>2023</v>
      </c>
      <c r="F389" s="7" t="s">
        <v>67</v>
      </c>
      <c r="G389" s="4" t="s">
        <v>111</v>
      </c>
      <c r="H389" s="4" t="s">
        <v>121</v>
      </c>
      <c r="I389" s="9">
        <v>3681</v>
      </c>
      <c r="J389" s="9" t="s">
        <v>126</v>
      </c>
      <c r="K389" s="8">
        <v>45125</v>
      </c>
      <c r="L389" s="21">
        <v>3681</v>
      </c>
      <c r="M389" s="8"/>
      <c r="N389" s="21"/>
      <c r="O389" s="8"/>
      <c r="P389" s="21"/>
      <c r="Q389" s="8"/>
      <c r="R389" s="28"/>
    </row>
    <row r="390" spans="1:18">
      <c r="A390" s="1" t="s">
        <v>526</v>
      </c>
      <c r="B390" s="6" t="s">
        <v>59</v>
      </c>
      <c r="C390" s="7">
        <v>45303</v>
      </c>
      <c r="D390" s="25">
        <f t="shared" si="12"/>
        <v>1</v>
      </c>
      <c r="E390" s="25">
        <f t="shared" si="13"/>
        <v>2024</v>
      </c>
      <c r="F390" s="7" t="s">
        <v>108</v>
      </c>
      <c r="G390" s="4" t="s">
        <v>111</v>
      </c>
      <c r="H390" s="4" t="s">
        <v>121</v>
      </c>
      <c r="I390" s="9">
        <v>5515</v>
      </c>
      <c r="J390" s="9" t="s">
        <v>136</v>
      </c>
      <c r="K390" s="8">
        <v>45304</v>
      </c>
      <c r="L390" s="21">
        <v>1378.75</v>
      </c>
      <c r="M390" s="8">
        <v>45333</v>
      </c>
      <c r="N390" s="21">
        <v>1378.75</v>
      </c>
      <c r="O390" s="8">
        <v>45348</v>
      </c>
      <c r="P390" s="21">
        <v>1378.75</v>
      </c>
      <c r="Q390" s="8">
        <v>45363</v>
      </c>
      <c r="R390" s="28">
        <v>1378.75</v>
      </c>
    </row>
    <row r="391" spans="1:18">
      <c r="A391" s="1" t="s">
        <v>527</v>
      </c>
      <c r="B391" s="6" t="s">
        <v>30</v>
      </c>
      <c r="C391" s="7">
        <v>45285</v>
      </c>
      <c r="D391" s="25">
        <f t="shared" si="12"/>
        <v>12</v>
      </c>
      <c r="E391" s="25">
        <f t="shared" si="13"/>
        <v>2023</v>
      </c>
      <c r="F391" s="7" t="s">
        <v>79</v>
      </c>
      <c r="G391" s="4" t="s">
        <v>111</v>
      </c>
      <c r="H391" s="4" t="s">
        <v>118</v>
      </c>
      <c r="I391" s="9">
        <v>2110</v>
      </c>
      <c r="J391" s="9" t="s">
        <v>137</v>
      </c>
      <c r="K391" s="8">
        <v>45286</v>
      </c>
      <c r="L391" s="21">
        <v>703.33333333333337</v>
      </c>
      <c r="M391" s="8">
        <v>45315</v>
      </c>
      <c r="N391" s="21">
        <v>703.33333333333337</v>
      </c>
      <c r="O391" s="8">
        <v>45330</v>
      </c>
      <c r="P391" s="21">
        <v>703.33333333333337</v>
      </c>
      <c r="Q391" s="8"/>
      <c r="R391" s="28"/>
    </row>
    <row r="392" spans="1:18">
      <c r="A392" s="1" t="s">
        <v>528</v>
      </c>
      <c r="B392" s="6" t="s">
        <v>28</v>
      </c>
      <c r="C392" s="7">
        <v>45369</v>
      </c>
      <c r="D392" s="25">
        <f t="shared" si="12"/>
        <v>3</v>
      </c>
      <c r="E392" s="25">
        <f t="shared" si="13"/>
        <v>2024</v>
      </c>
      <c r="F392" s="7" t="s">
        <v>77</v>
      </c>
      <c r="G392" s="4" t="s">
        <v>110</v>
      </c>
      <c r="H392" s="4" t="s">
        <v>114</v>
      </c>
      <c r="I392" s="9">
        <v>-3168</v>
      </c>
      <c r="J392" s="9" t="s">
        <v>137</v>
      </c>
      <c r="K392" s="8">
        <v>45370</v>
      </c>
      <c r="L392" s="21">
        <v>-1056</v>
      </c>
      <c r="M392" s="8">
        <v>45399</v>
      </c>
      <c r="N392" s="21">
        <v>-1056</v>
      </c>
      <c r="O392" s="8">
        <v>45414</v>
      </c>
      <c r="P392" s="21">
        <v>-1056</v>
      </c>
      <c r="Q392" s="8"/>
      <c r="R392" s="28"/>
    </row>
    <row r="393" spans="1:18">
      <c r="A393" s="1" t="s">
        <v>529</v>
      </c>
      <c r="B393" s="6" t="s">
        <v>18</v>
      </c>
      <c r="C393" s="7">
        <v>45320</v>
      </c>
      <c r="D393" s="25">
        <f t="shared" si="12"/>
        <v>1</v>
      </c>
      <c r="E393" s="25">
        <f t="shared" si="13"/>
        <v>2024</v>
      </c>
      <c r="F393" s="7" t="s">
        <v>67</v>
      </c>
      <c r="G393" s="4" t="s">
        <v>111</v>
      </c>
      <c r="H393" s="4" t="s">
        <v>121</v>
      </c>
      <c r="I393" s="9">
        <v>2393</v>
      </c>
      <c r="J393" s="9" t="s">
        <v>138</v>
      </c>
      <c r="K393" s="8">
        <v>45321</v>
      </c>
      <c r="L393" s="21">
        <v>1196.5</v>
      </c>
      <c r="M393" s="8">
        <v>45350</v>
      </c>
      <c r="N393" s="21">
        <v>1196.5</v>
      </c>
      <c r="O393" s="8"/>
      <c r="P393" s="21"/>
      <c r="Q393" s="8"/>
      <c r="R393" s="28"/>
    </row>
    <row r="394" spans="1:18">
      <c r="A394" s="1" t="s">
        <v>530</v>
      </c>
      <c r="B394" s="6" t="s">
        <v>32</v>
      </c>
      <c r="C394" s="7">
        <v>45197</v>
      </c>
      <c r="D394" s="25">
        <f t="shared" si="12"/>
        <v>9</v>
      </c>
      <c r="E394" s="25">
        <f t="shared" si="13"/>
        <v>2023</v>
      </c>
      <c r="F394" s="7" t="s">
        <v>81</v>
      </c>
      <c r="G394" s="4" t="s">
        <v>110</v>
      </c>
      <c r="H394" s="4" t="s">
        <v>124</v>
      </c>
      <c r="I394" s="9">
        <v>-7652</v>
      </c>
      <c r="J394" s="9" t="s">
        <v>137</v>
      </c>
      <c r="K394" s="8">
        <v>45198</v>
      </c>
      <c r="L394" s="21">
        <v>-2550.6666666666665</v>
      </c>
      <c r="M394" s="8">
        <v>45227</v>
      </c>
      <c r="N394" s="21">
        <v>-2550.6666666666665</v>
      </c>
      <c r="O394" s="8">
        <v>45242</v>
      </c>
      <c r="P394" s="21">
        <v>-2550.6666666666665</v>
      </c>
      <c r="Q394" s="8"/>
      <c r="R394" s="28"/>
    </row>
    <row r="395" spans="1:18">
      <c r="A395" s="1" t="s">
        <v>531</v>
      </c>
      <c r="B395" s="6" t="s">
        <v>49</v>
      </c>
      <c r="C395" s="7">
        <v>45199</v>
      </c>
      <c r="D395" s="25">
        <f t="shared" si="12"/>
        <v>9</v>
      </c>
      <c r="E395" s="25">
        <f t="shared" si="13"/>
        <v>2023</v>
      </c>
      <c r="F395" s="7" t="s">
        <v>98</v>
      </c>
      <c r="G395" s="4" t="s">
        <v>110</v>
      </c>
      <c r="H395" s="4" t="s">
        <v>125</v>
      </c>
      <c r="I395" s="9">
        <v>-4050</v>
      </c>
      <c r="J395" s="9" t="s">
        <v>136</v>
      </c>
      <c r="K395" s="8">
        <v>45200</v>
      </c>
      <c r="L395" s="21">
        <v>-1012.5</v>
      </c>
      <c r="M395" s="8">
        <v>45229</v>
      </c>
      <c r="N395" s="21">
        <v>-1012.5</v>
      </c>
      <c r="O395" s="8">
        <v>45244</v>
      </c>
      <c r="P395" s="21">
        <v>-1012.5</v>
      </c>
      <c r="Q395" s="8">
        <v>45259</v>
      </c>
      <c r="R395" s="28">
        <v>-1012.5</v>
      </c>
    </row>
    <row r="396" spans="1:18">
      <c r="A396" s="1" t="s">
        <v>532</v>
      </c>
      <c r="B396" s="6" t="s">
        <v>14</v>
      </c>
      <c r="C396" s="7">
        <v>45289</v>
      </c>
      <c r="D396" s="25">
        <f t="shared" si="12"/>
        <v>12</v>
      </c>
      <c r="E396" s="25">
        <f t="shared" si="13"/>
        <v>2023</v>
      </c>
      <c r="F396" s="7" t="s">
        <v>61</v>
      </c>
      <c r="G396" s="4" t="s">
        <v>110</v>
      </c>
      <c r="H396" s="4" t="s">
        <v>113</v>
      </c>
      <c r="I396" s="9">
        <v>-2336</v>
      </c>
      <c r="J396" s="9" t="s">
        <v>136</v>
      </c>
      <c r="K396" s="8">
        <v>45290</v>
      </c>
      <c r="L396" s="21">
        <v>-584</v>
      </c>
      <c r="M396" s="8">
        <v>45319</v>
      </c>
      <c r="N396" s="21">
        <v>-584</v>
      </c>
      <c r="O396" s="8">
        <v>45334</v>
      </c>
      <c r="P396" s="21">
        <v>-584</v>
      </c>
      <c r="Q396" s="8">
        <v>45349</v>
      </c>
      <c r="R396" s="28">
        <v>-584</v>
      </c>
    </row>
    <row r="397" spans="1:18">
      <c r="A397" s="1" t="s">
        <v>533</v>
      </c>
      <c r="B397" s="6" t="s">
        <v>28</v>
      </c>
      <c r="C397" s="7">
        <v>45297</v>
      </c>
      <c r="D397" s="25">
        <f t="shared" si="12"/>
        <v>1</v>
      </c>
      <c r="E397" s="25">
        <f t="shared" si="13"/>
        <v>2024</v>
      </c>
      <c r="F397" s="7" t="s">
        <v>77</v>
      </c>
      <c r="G397" s="4" t="s">
        <v>110</v>
      </c>
      <c r="H397" s="4" t="s">
        <v>114</v>
      </c>
      <c r="I397" s="9">
        <v>-3078</v>
      </c>
      <c r="J397" s="9" t="s">
        <v>138</v>
      </c>
      <c r="K397" s="8">
        <v>45298</v>
      </c>
      <c r="L397" s="21">
        <v>-1539</v>
      </c>
      <c r="M397" s="8">
        <v>45327</v>
      </c>
      <c r="N397" s="21">
        <v>-1539</v>
      </c>
      <c r="O397" s="8"/>
      <c r="P397" s="21"/>
      <c r="Q397" s="8"/>
      <c r="R397" s="28"/>
    </row>
    <row r="398" spans="1:18">
      <c r="A398" s="1" t="s">
        <v>534</v>
      </c>
      <c r="B398" s="6" t="s">
        <v>39</v>
      </c>
      <c r="C398" s="7">
        <v>45391</v>
      </c>
      <c r="D398" s="25">
        <f t="shared" si="12"/>
        <v>4</v>
      </c>
      <c r="E398" s="25">
        <f t="shared" si="13"/>
        <v>2024</v>
      </c>
      <c r="F398" s="7" t="s">
        <v>88</v>
      </c>
      <c r="G398" s="4" t="s">
        <v>110</v>
      </c>
      <c r="H398" s="4" t="s">
        <v>114</v>
      </c>
      <c r="I398" s="9">
        <v>-1063</v>
      </c>
      <c r="J398" s="9" t="s">
        <v>138</v>
      </c>
      <c r="K398" s="8">
        <v>45392</v>
      </c>
      <c r="L398" s="21">
        <v>-531.5</v>
      </c>
      <c r="M398" s="8">
        <v>45421</v>
      </c>
      <c r="N398" s="21">
        <v>-531.5</v>
      </c>
      <c r="O398" s="8"/>
      <c r="P398" s="21"/>
      <c r="Q398" s="8"/>
      <c r="R398" s="28"/>
    </row>
    <row r="399" spans="1:18">
      <c r="A399" s="1" t="s">
        <v>535</v>
      </c>
      <c r="B399" s="6" t="s">
        <v>12</v>
      </c>
      <c r="C399" s="7">
        <v>45284</v>
      </c>
      <c r="D399" s="25">
        <f t="shared" si="12"/>
        <v>12</v>
      </c>
      <c r="E399" s="25">
        <f t="shared" si="13"/>
        <v>2023</v>
      </c>
      <c r="F399" s="7" t="s">
        <v>62</v>
      </c>
      <c r="G399" s="4" t="s">
        <v>112</v>
      </c>
      <c r="H399" s="4" t="s">
        <v>122</v>
      </c>
      <c r="I399" s="9">
        <v>5061</v>
      </c>
      <c r="J399" s="9" t="s">
        <v>126</v>
      </c>
      <c r="K399" s="8">
        <v>45285</v>
      </c>
      <c r="L399" s="21">
        <v>5061</v>
      </c>
      <c r="M399" s="8"/>
      <c r="N399" s="21"/>
      <c r="O399" s="8"/>
      <c r="P399" s="21"/>
      <c r="Q399" s="8"/>
      <c r="R399" s="28"/>
    </row>
    <row r="400" spans="1:18">
      <c r="A400" s="1" t="s">
        <v>536</v>
      </c>
      <c r="B400" s="6" t="s">
        <v>59</v>
      </c>
      <c r="C400" s="7">
        <v>45348</v>
      </c>
      <c r="D400" s="25">
        <f t="shared" si="12"/>
        <v>2</v>
      </c>
      <c r="E400" s="25">
        <f t="shared" si="13"/>
        <v>2024</v>
      </c>
      <c r="F400" s="7" t="s">
        <v>108</v>
      </c>
      <c r="G400" s="4" t="s">
        <v>111</v>
      </c>
      <c r="H400" s="4" t="s">
        <v>121</v>
      </c>
      <c r="I400" s="9">
        <v>4323</v>
      </c>
      <c r="J400" s="9" t="s">
        <v>137</v>
      </c>
      <c r="K400" s="8">
        <v>45349</v>
      </c>
      <c r="L400" s="21">
        <v>1441</v>
      </c>
      <c r="M400" s="8">
        <v>45378</v>
      </c>
      <c r="N400" s="21">
        <v>1441</v>
      </c>
      <c r="O400" s="8">
        <v>45393</v>
      </c>
      <c r="P400" s="21">
        <v>1441</v>
      </c>
      <c r="Q400" s="8"/>
      <c r="R400" s="28"/>
    </row>
    <row r="401" spans="1:18">
      <c r="A401" s="1" t="s">
        <v>537</v>
      </c>
      <c r="B401" s="6" t="s">
        <v>43</v>
      </c>
      <c r="C401" s="7">
        <v>45170</v>
      </c>
      <c r="D401" s="25">
        <f t="shared" si="12"/>
        <v>9</v>
      </c>
      <c r="E401" s="25">
        <f t="shared" si="13"/>
        <v>2023</v>
      </c>
      <c r="F401" s="7" t="s">
        <v>92</v>
      </c>
      <c r="G401" s="4" t="s">
        <v>110</v>
      </c>
      <c r="H401" s="4" t="s">
        <v>124</v>
      </c>
      <c r="I401" s="9">
        <v>-5282</v>
      </c>
      <c r="J401" s="9" t="s">
        <v>137</v>
      </c>
      <c r="K401" s="8">
        <v>45171</v>
      </c>
      <c r="L401" s="21">
        <v>-1760.6666666666667</v>
      </c>
      <c r="M401" s="8">
        <v>45200</v>
      </c>
      <c r="N401" s="21">
        <v>-1760.6666666666667</v>
      </c>
      <c r="O401" s="8">
        <v>45215</v>
      </c>
      <c r="P401" s="21">
        <v>-1760.6666666666667</v>
      </c>
      <c r="Q401" s="8"/>
      <c r="R401" s="28"/>
    </row>
    <row r="402" spans="1:18">
      <c r="A402" s="1" t="s">
        <v>538</v>
      </c>
      <c r="B402" s="6" t="s">
        <v>18</v>
      </c>
      <c r="C402" s="7">
        <v>45161</v>
      </c>
      <c r="D402" s="25">
        <f t="shared" si="12"/>
        <v>8</v>
      </c>
      <c r="E402" s="25">
        <f t="shared" si="13"/>
        <v>2023</v>
      </c>
      <c r="F402" s="7" t="s">
        <v>67</v>
      </c>
      <c r="G402" s="4" t="s">
        <v>111</v>
      </c>
      <c r="H402" s="4" t="s">
        <v>121</v>
      </c>
      <c r="I402" s="9">
        <v>2837</v>
      </c>
      <c r="J402" s="9" t="s">
        <v>126</v>
      </c>
      <c r="K402" s="8">
        <v>45162</v>
      </c>
      <c r="L402" s="21">
        <v>2837</v>
      </c>
      <c r="M402" s="8"/>
      <c r="N402" s="21"/>
      <c r="O402" s="8"/>
      <c r="P402" s="21"/>
      <c r="Q402" s="8"/>
      <c r="R402" s="28"/>
    </row>
    <row r="403" spans="1:18">
      <c r="A403" s="1" t="s">
        <v>539</v>
      </c>
      <c r="B403" s="6" t="s">
        <v>37</v>
      </c>
      <c r="C403" s="7">
        <v>45332</v>
      </c>
      <c r="D403" s="25">
        <f t="shared" si="12"/>
        <v>2</v>
      </c>
      <c r="E403" s="25">
        <f t="shared" si="13"/>
        <v>2024</v>
      </c>
      <c r="F403" s="7" t="s">
        <v>86</v>
      </c>
      <c r="G403" s="4" t="s">
        <v>112</v>
      </c>
      <c r="H403" s="4" t="s">
        <v>123</v>
      </c>
      <c r="I403" s="9">
        <v>7874</v>
      </c>
      <c r="J403" s="9" t="s">
        <v>126</v>
      </c>
      <c r="K403" s="8">
        <v>45333</v>
      </c>
      <c r="L403" s="21">
        <v>7874</v>
      </c>
      <c r="M403" s="8"/>
      <c r="N403" s="21"/>
      <c r="O403" s="8"/>
      <c r="P403" s="21"/>
      <c r="Q403" s="8"/>
      <c r="R403" s="28"/>
    </row>
    <row r="404" spans="1:18">
      <c r="A404" s="1" t="s">
        <v>540</v>
      </c>
      <c r="B404" s="6" t="s">
        <v>35</v>
      </c>
      <c r="C404" s="7">
        <v>45112</v>
      </c>
      <c r="D404" s="25">
        <f t="shared" si="12"/>
        <v>7</v>
      </c>
      <c r="E404" s="25">
        <f t="shared" si="13"/>
        <v>2023</v>
      </c>
      <c r="F404" s="7" t="s">
        <v>84</v>
      </c>
      <c r="G404" s="4" t="s">
        <v>112</v>
      </c>
      <c r="H404" s="4" t="s">
        <v>122</v>
      </c>
      <c r="I404" s="9">
        <v>8182</v>
      </c>
      <c r="J404" s="9" t="s">
        <v>126</v>
      </c>
      <c r="K404" s="8">
        <v>45113</v>
      </c>
      <c r="L404" s="21">
        <v>8182</v>
      </c>
      <c r="M404" s="8"/>
      <c r="N404" s="21"/>
      <c r="O404" s="8"/>
      <c r="P404" s="21"/>
      <c r="Q404" s="8"/>
      <c r="R404" s="28"/>
    </row>
    <row r="405" spans="1:18">
      <c r="A405" s="1" t="s">
        <v>541</v>
      </c>
      <c r="B405" s="6" t="s">
        <v>45</v>
      </c>
      <c r="C405" s="7">
        <v>45141</v>
      </c>
      <c r="D405" s="25">
        <f t="shared" si="12"/>
        <v>8</v>
      </c>
      <c r="E405" s="25">
        <f t="shared" si="13"/>
        <v>2023</v>
      </c>
      <c r="F405" s="7" t="s">
        <v>94</v>
      </c>
      <c r="G405" s="4" t="s">
        <v>110</v>
      </c>
      <c r="H405" s="4" t="s">
        <v>113</v>
      </c>
      <c r="I405" s="9">
        <v>-3563</v>
      </c>
      <c r="J405" s="9" t="s">
        <v>136</v>
      </c>
      <c r="K405" s="8">
        <v>45142</v>
      </c>
      <c r="L405" s="21">
        <v>-890.75</v>
      </c>
      <c r="M405" s="8">
        <v>45171</v>
      </c>
      <c r="N405" s="21">
        <v>-890.75</v>
      </c>
      <c r="O405" s="8">
        <v>45186</v>
      </c>
      <c r="P405" s="21">
        <v>-890.75</v>
      </c>
      <c r="Q405" s="8">
        <v>45201</v>
      </c>
      <c r="R405" s="28">
        <v>-890.75</v>
      </c>
    </row>
    <row r="406" spans="1:18">
      <c r="A406" s="1" t="s">
        <v>542</v>
      </c>
      <c r="B406" s="6" t="s">
        <v>37</v>
      </c>
      <c r="C406" s="7">
        <v>45342</v>
      </c>
      <c r="D406" s="25">
        <f t="shared" si="12"/>
        <v>2</v>
      </c>
      <c r="E406" s="25">
        <f t="shared" si="13"/>
        <v>2024</v>
      </c>
      <c r="F406" s="7" t="s">
        <v>86</v>
      </c>
      <c r="G406" s="4" t="s">
        <v>112</v>
      </c>
      <c r="H406" s="4" t="s">
        <v>123</v>
      </c>
      <c r="I406" s="9">
        <v>2295</v>
      </c>
      <c r="J406" s="9" t="s">
        <v>126</v>
      </c>
      <c r="K406" s="8">
        <v>45343</v>
      </c>
      <c r="L406" s="21">
        <v>2295</v>
      </c>
      <c r="M406" s="8"/>
      <c r="N406" s="21"/>
      <c r="O406" s="8"/>
      <c r="P406" s="21"/>
      <c r="Q406" s="8"/>
      <c r="R406" s="28"/>
    </row>
    <row r="407" spans="1:18">
      <c r="A407" s="1" t="s">
        <v>543</v>
      </c>
      <c r="B407" s="6" t="s">
        <v>26</v>
      </c>
      <c r="C407" s="7">
        <v>45184</v>
      </c>
      <c r="D407" s="25">
        <f t="shared" si="12"/>
        <v>9</v>
      </c>
      <c r="E407" s="25">
        <f t="shared" si="13"/>
        <v>2023</v>
      </c>
      <c r="F407" s="7" t="s">
        <v>75</v>
      </c>
      <c r="G407" s="4" t="s">
        <v>112</v>
      </c>
      <c r="H407" s="4" t="s">
        <v>123</v>
      </c>
      <c r="I407" s="9">
        <v>5621</v>
      </c>
      <c r="J407" s="9" t="s">
        <v>126</v>
      </c>
      <c r="K407" s="8">
        <v>45185</v>
      </c>
      <c r="L407" s="21">
        <v>5621</v>
      </c>
      <c r="M407" s="8"/>
      <c r="N407" s="21"/>
      <c r="O407" s="8"/>
      <c r="P407" s="21"/>
      <c r="Q407" s="8"/>
      <c r="R407" s="28"/>
    </row>
    <row r="408" spans="1:18">
      <c r="A408" s="1" t="s">
        <v>544</v>
      </c>
      <c r="B408" s="6" t="s">
        <v>52</v>
      </c>
      <c r="C408" s="7">
        <v>45334</v>
      </c>
      <c r="D408" s="25">
        <f t="shared" si="12"/>
        <v>2</v>
      </c>
      <c r="E408" s="25">
        <f t="shared" si="13"/>
        <v>2024</v>
      </c>
      <c r="F408" s="7" t="s">
        <v>101</v>
      </c>
      <c r="G408" s="4" t="s">
        <v>111</v>
      </c>
      <c r="H408" s="4" t="s">
        <v>118</v>
      </c>
      <c r="I408" s="9">
        <v>5611</v>
      </c>
      <c r="J408" s="9" t="s">
        <v>126</v>
      </c>
      <c r="K408" s="8">
        <v>45335</v>
      </c>
      <c r="L408" s="21">
        <v>5611</v>
      </c>
      <c r="M408" s="8"/>
      <c r="N408" s="21"/>
      <c r="O408" s="8"/>
      <c r="P408" s="21"/>
      <c r="Q408" s="8"/>
      <c r="R408" s="28"/>
    </row>
    <row r="409" spans="1:18">
      <c r="A409" s="1" t="s">
        <v>545</v>
      </c>
      <c r="B409" s="6" t="s">
        <v>43</v>
      </c>
      <c r="C409" s="7">
        <v>45471</v>
      </c>
      <c r="D409" s="25">
        <f t="shared" si="12"/>
        <v>6</v>
      </c>
      <c r="E409" s="25">
        <f t="shared" si="13"/>
        <v>2024</v>
      </c>
      <c r="F409" s="7" t="s">
        <v>92</v>
      </c>
      <c r="G409" s="4" t="s">
        <v>110</v>
      </c>
      <c r="H409" s="4" t="s">
        <v>124</v>
      </c>
      <c r="I409" s="9">
        <v>-9978</v>
      </c>
      <c r="J409" s="9" t="s">
        <v>138</v>
      </c>
      <c r="K409" s="8">
        <v>45472</v>
      </c>
      <c r="L409" s="21">
        <v>-4989</v>
      </c>
      <c r="M409" s="8">
        <v>45501</v>
      </c>
      <c r="N409" s="21">
        <v>-4989</v>
      </c>
      <c r="O409" s="8"/>
      <c r="P409" s="21"/>
      <c r="Q409" s="8"/>
      <c r="R409" s="28"/>
    </row>
    <row r="410" spans="1:18">
      <c r="A410" s="1" t="s">
        <v>546</v>
      </c>
      <c r="B410" s="6" t="s">
        <v>30</v>
      </c>
      <c r="C410" s="7">
        <v>45236</v>
      </c>
      <c r="D410" s="25">
        <f t="shared" si="12"/>
        <v>11</v>
      </c>
      <c r="E410" s="25">
        <f t="shared" si="13"/>
        <v>2023</v>
      </c>
      <c r="F410" s="7" t="s">
        <v>79</v>
      </c>
      <c r="G410" s="4" t="s">
        <v>111</v>
      </c>
      <c r="H410" s="4" t="s">
        <v>118</v>
      </c>
      <c r="I410" s="9">
        <v>8750</v>
      </c>
      <c r="J410" s="9" t="s">
        <v>138</v>
      </c>
      <c r="K410" s="8">
        <v>45237</v>
      </c>
      <c r="L410" s="21">
        <v>4375</v>
      </c>
      <c r="M410" s="8">
        <v>45266</v>
      </c>
      <c r="N410" s="21">
        <v>4375</v>
      </c>
      <c r="O410" s="8"/>
      <c r="P410" s="21"/>
      <c r="Q410" s="8"/>
      <c r="R410" s="28"/>
    </row>
    <row r="411" spans="1:18">
      <c r="A411" s="1" t="s">
        <v>547</v>
      </c>
      <c r="B411" s="6" t="s">
        <v>51</v>
      </c>
      <c r="C411" s="7">
        <v>45107</v>
      </c>
      <c r="D411" s="25">
        <f t="shared" si="12"/>
        <v>6</v>
      </c>
      <c r="E411" s="25">
        <f t="shared" si="13"/>
        <v>2023</v>
      </c>
      <c r="F411" s="7" t="s">
        <v>100</v>
      </c>
      <c r="G411" s="4" t="s">
        <v>111</v>
      </c>
      <c r="H411" s="4" t="s">
        <v>121</v>
      </c>
      <c r="I411" s="9">
        <v>8236</v>
      </c>
      <c r="J411" s="9" t="s">
        <v>136</v>
      </c>
      <c r="K411" s="8">
        <v>45108</v>
      </c>
      <c r="L411" s="21">
        <v>2059</v>
      </c>
      <c r="M411" s="8">
        <v>45137</v>
      </c>
      <c r="N411" s="21">
        <v>2059</v>
      </c>
      <c r="O411" s="8">
        <v>45152</v>
      </c>
      <c r="P411" s="21">
        <v>2059</v>
      </c>
      <c r="Q411" s="8">
        <v>45167</v>
      </c>
      <c r="R411" s="28">
        <v>2059</v>
      </c>
    </row>
    <row r="412" spans="1:18">
      <c r="A412" s="1" t="s">
        <v>548</v>
      </c>
      <c r="B412" s="6" t="s">
        <v>46</v>
      </c>
      <c r="C412" s="7">
        <v>45307</v>
      </c>
      <c r="D412" s="25">
        <f t="shared" si="12"/>
        <v>1</v>
      </c>
      <c r="E412" s="25">
        <f t="shared" si="13"/>
        <v>2024</v>
      </c>
      <c r="F412" s="7" t="s">
        <v>95</v>
      </c>
      <c r="G412" s="4" t="s">
        <v>112</v>
      </c>
      <c r="H412" s="4" t="s">
        <v>122</v>
      </c>
      <c r="I412" s="9">
        <v>1065</v>
      </c>
      <c r="J412" s="9" t="s">
        <v>126</v>
      </c>
      <c r="K412" s="8">
        <v>45308</v>
      </c>
      <c r="L412" s="21">
        <v>1065</v>
      </c>
      <c r="M412" s="8"/>
      <c r="N412" s="21"/>
      <c r="O412" s="8"/>
      <c r="P412" s="21"/>
      <c r="Q412" s="8"/>
      <c r="R412" s="28"/>
    </row>
    <row r="413" spans="1:18">
      <c r="A413" s="1" t="s">
        <v>549</v>
      </c>
      <c r="B413" s="6" t="s">
        <v>12</v>
      </c>
      <c r="C413" s="7">
        <v>45371</v>
      </c>
      <c r="D413" s="25">
        <f t="shared" si="12"/>
        <v>3</v>
      </c>
      <c r="E413" s="25">
        <f t="shared" si="13"/>
        <v>2024</v>
      </c>
      <c r="F413" s="7" t="s">
        <v>62</v>
      </c>
      <c r="G413" s="4" t="s">
        <v>112</v>
      </c>
      <c r="H413" s="4" t="s">
        <v>122</v>
      </c>
      <c r="I413" s="9">
        <v>486</v>
      </c>
      <c r="J413" s="9" t="s">
        <v>126</v>
      </c>
      <c r="K413" s="8">
        <v>45372</v>
      </c>
      <c r="L413" s="21">
        <v>486</v>
      </c>
      <c r="M413" s="8"/>
      <c r="N413" s="21"/>
      <c r="O413" s="8"/>
      <c r="P413" s="21"/>
      <c r="Q413" s="8"/>
      <c r="R413" s="28"/>
    </row>
    <row r="414" spans="1:18">
      <c r="A414" s="1" t="s">
        <v>550</v>
      </c>
      <c r="B414" s="6" t="s">
        <v>49</v>
      </c>
      <c r="C414" s="7">
        <v>45271</v>
      </c>
      <c r="D414" s="25">
        <f t="shared" si="12"/>
        <v>12</v>
      </c>
      <c r="E414" s="25">
        <f t="shared" si="13"/>
        <v>2023</v>
      </c>
      <c r="F414" s="7" t="s">
        <v>98</v>
      </c>
      <c r="G414" s="4" t="s">
        <v>110</v>
      </c>
      <c r="H414" s="4" t="s">
        <v>125</v>
      </c>
      <c r="I414" s="9">
        <v>-8422</v>
      </c>
      <c r="J414" s="9" t="s">
        <v>138</v>
      </c>
      <c r="K414" s="8">
        <v>45272</v>
      </c>
      <c r="L414" s="21">
        <v>-4211</v>
      </c>
      <c r="M414" s="8">
        <v>45301</v>
      </c>
      <c r="N414" s="21">
        <v>-4211</v>
      </c>
      <c r="O414" s="8"/>
      <c r="P414" s="21"/>
      <c r="Q414" s="8"/>
      <c r="R414" s="28"/>
    </row>
    <row r="415" spans="1:18">
      <c r="A415" s="1" t="s">
        <v>551</v>
      </c>
      <c r="B415" s="6" t="s">
        <v>37</v>
      </c>
      <c r="C415" s="7">
        <v>45414</v>
      </c>
      <c r="D415" s="25">
        <f t="shared" si="12"/>
        <v>5</v>
      </c>
      <c r="E415" s="25">
        <f t="shared" si="13"/>
        <v>2024</v>
      </c>
      <c r="F415" s="7" t="s">
        <v>86</v>
      </c>
      <c r="G415" s="4" t="s">
        <v>112</v>
      </c>
      <c r="H415" s="4" t="s">
        <v>123</v>
      </c>
      <c r="I415" s="9">
        <v>5339</v>
      </c>
      <c r="J415" s="9" t="s">
        <v>126</v>
      </c>
      <c r="K415" s="8">
        <v>45415</v>
      </c>
      <c r="L415" s="21">
        <v>5339</v>
      </c>
      <c r="M415" s="8"/>
      <c r="N415" s="21"/>
      <c r="O415" s="8"/>
      <c r="P415" s="21"/>
      <c r="Q415" s="8"/>
      <c r="R415" s="28"/>
    </row>
    <row r="416" spans="1:18">
      <c r="A416" s="1" t="s">
        <v>552</v>
      </c>
      <c r="B416" s="6" t="s">
        <v>47</v>
      </c>
      <c r="C416" s="7">
        <v>45421</v>
      </c>
      <c r="D416" s="25">
        <f t="shared" si="12"/>
        <v>5</v>
      </c>
      <c r="E416" s="25">
        <f t="shared" si="13"/>
        <v>2024</v>
      </c>
      <c r="F416" s="7" t="s">
        <v>96</v>
      </c>
      <c r="G416" s="4" t="s">
        <v>111</v>
      </c>
      <c r="H416" s="4" t="s">
        <v>120</v>
      </c>
      <c r="I416" s="9">
        <v>1109</v>
      </c>
      <c r="J416" s="9" t="s">
        <v>126</v>
      </c>
      <c r="K416" s="8">
        <v>45422</v>
      </c>
      <c r="L416" s="21">
        <v>1109</v>
      </c>
      <c r="M416" s="8"/>
      <c r="N416" s="21"/>
      <c r="O416" s="8"/>
      <c r="P416" s="21"/>
      <c r="Q416" s="8"/>
      <c r="R416" s="28"/>
    </row>
    <row r="417" spans="1:18">
      <c r="A417" s="1" t="s">
        <v>553</v>
      </c>
      <c r="B417" s="6" t="s">
        <v>17</v>
      </c>
      <c r="C417" s="7">
        <v>45087</v>
      </c>
      <c r="D417" s="25">
        <f t="shared" si="12"/>
        <v>6</v>
      </c>
      <c r="E417" s="25">
        <f t="shared" si="13"/>
        <v>2023</v>
      </c>
      <c r="F417" s="7" t="s">
        <v>66</v>
      </c>
      <c r="G417" s="4" t="s">
        <v>110</v>
      </c>
      <c r="H417" s="4" t="s">
        <v>114</v>
      </c>
      <c r="I417" s="9">
        <v>-9579</v>
      </c>
      <c r="J417" s="9" t="s">
        <v>138</v>
      </c>
      <c r="K417" s="8">
        <v>45088</v>
      </c>
      <c r="L417" s="21">
        <v>-4789.5</v>
      </c>
      <c r="M417" s="8">
        <v>45117</v>
      </c>
      <c r="N417" s="21">
        <v>-4789.5</v>
      </c>
      <c r="O417" s="8"/>
      <c r="P417" s="21"/>
      <c r="Q417" s="8"/>
      <c r="R417" s="28"/>
    </row>
    <row r="418" spans="1:18">
      <c r="A418" s="1" t="s">
        <v>554</v>
      </c>
      <c r="B418" s="6" t="s">
        <v>43</v>
      </c>
      <c r="C418" s="7">
        <v>45239</v>
      </c>
      <c r="D418" s="25">
        <f t="shared" si="12"/>
        <v>11</v>
      </c>
      <c r="E418" s="25">
        <f t="shared" si="13"/>
        <v>2023</v>
      </c>
      <c r="F418" s="7" t="s">
        <v>92</v>
      </c>
      <c r="G418" s="4" t="s">
        <v>110</v>
      </c>
      <c r="H418" s="4" t="s">
        <v>124</v>
      </c>
      <c r="I418" s="9">
        <v>-7776</v>
      </c>
      <c r="J418" s="9" t="s">
        <v>136</v>
      </c>
      <c r="K418" s="8">
        <v>45240</v>
      </c>
      <c r="L418" s="21">
        <v>-1944</v>
      </c>
      <c r="M418" s="8">
        <v>45269</v>
      </c>
      <c r="N418" s="21">
        <v>-1944</v>
      </c>
      <c r="O418" s="8">
        <v>45284</v>
      </c>
      <c r="P418" s="21">
        <v>-1944</v>
      </c>
      <c r="Q418" s="8">
        <v>45299</v>
      </c>
      <c r="R418" s="28">
        <v>-1944</v>
      </c>
    </row>
    <row r="419" spans="1:18">
      <c r="A419" s="1" t="s">
        <v>555</v>
      </c>
      <c r="B419" s="6" t="s">
        <v>60</v>
      </c>
      <c r="C419" s="7">
        <v>45276</v>
      </c>
      <c r="D419" s="25">
        <f t="shared" si="12"/>
        <v>12</v>
      </c>
      <c r="E419" s="25">
        <f t="shared" si="13"/>
        <v>2023</v>
      </c>
      <c r="F419" s="7" t="s">
        <v>109</v>
      </c>
      <c r="G419" s="4" t="s">
        <v>111</v>
      </c>
      <c r="H419" s="4" t="s">
        <v>118</v>
      </c>
      <c r="I419" s="9">
        <v>2584</v>
      </c>
      <c r="J419" s="9" t="s">
        <v>136</v>
      </c>
      <c r="K419" s="8">
        <v>45277</v>
      </c>
      <c r="L419" s="21">
        <v>646</v>
      </c>
      <c r="M419" s="8">
        <v>45306</v>
      </c>
      <c r="N419" s="21">
        <v>646</v>
      </c>
      <c r="O419" s="8">
        <v>45321</v>
      </c>
      <c r="P419" s="21">
        <v>646</v>
      </c>
      <c r="Q419" s="8">
        <v>45336</v>
      </c>
      <c r="R419" s="28">
        <v>646</v>
      </c>
    </row>
    <row r="420" spans="1:18">
      <c r="A420" s="1" t="s">
        <v>556</v>
      </c>
      <c r="B420" s="6" t="s">
        <v>41</v>
      </c>
      <c r="C420" s="7">
        <v>45388</v>
      </c>
      <c r="D420" s="25">
        <f t="shared" si="12"/>
        <v>4</v>
      </c>
      <c r="E420" s="25">
        <f t="shared" si="13"/>
        <v>2024</v>
      </c>
      <c r="F420" s="7" t="s">
        <v>90</v>
      </c>
      <c r="G420" s="4" t="s">
        <v>111</v>
      </c>
      <c r="H420" s="4" t="s">
        <v>118</v>
      </c>
      <c r="I420" s="9">
        <v>6415</v>
      </c>
      <c r="J420" s="9" t="s">
        <v>136</v>
      </c>
      <c r="K420" s="8">
        <v>45389</v>
      </c>
      <c r="L420" s="21">
        <v>1603.75</v>
      </c>
      <c r="M420" s="8">
        <v>45418</v>
      </c>
      <c r="N420" s="21">
        <v>1603.75</v>
      </c>
      <c r="O420" s="8">
        <v>45433</v>
      </c>
      <c r="P420" s="21">
        <v>1603.75</v>
      </c>
      <c r="Q420" s="8">
        <v>45448</v>
      </c>
      <c r="R420" s="28">
        <v>1603.75</v>
      </c>
    </row>
    <row r="421" spans="1:18">
      <c r="A421" s="1" t="s">
        <v>557</v>
      </c>
      <c r="B421" s="6" t="s">
        <v>50</v>
      </c>
      <c r="C421" s="7">
        <v>45213</v>
      </c>
      <c r="D421" s="25">
        <f t="shared" si="12"/>
        <v>10</v>
      </c>
      <c r="E421" s="25">
        <f t="shared" si="13"/>
        <v>2023</v>
      </c>
      <c r="F421" s="7" t="s">
        <v>99</v>
      </c>
      <c r="G421" s="4" t="s">
        <v>110</v>
      </c>
      <c r="H421" s="4" t="s">
        <v>114</v>
      </c>
      <c r="I421" s="9">
        <v>-1976</v>
      </c>
      <c r="J421" s="9" t="s">
        <v>136</v>
      </c>
      <c r="K421" s="8">
        <v>45214</v>
      </c>
      <c r="L421" s="21">
        <v>-494</v>
      </c>
      <c r="M421" s="8">
        <v>45243</v>
      </c>
      <c r="N421" s="21">
        <v>-494</v>
      </c>
      <c r="O421" s="8">
        <v>45258</v>
      </c>
      <c r="P421" s="21">
        <v>-494</v>
      </c>
      <c r="Q421" s="8">
        <v>45273</v>
      </c>
      <c r="R421" s="28">
        <v>-494</v>
      </c>
    </row>
    <row r="422" spans="1:18">
      <c r="A422" s="1" t="s">
        <v>558</v>
      </c>
      <c r="B422" s="6" t="s">
        <v>53</v>
      </c>
      <c r="C422" s="7">
        <v>45235</v>
      </c>
      <c r="D422" s="25">
        <f t="shared" si="12"/>
        <v>11</v>
      </c>
      <c r="E422" s="25">
        <f t="shared" si="13"/>
        <v>2023</v>
      </c>
      <c r="F422" s="7" t="s">
        <v>102</v>
      </c>
      <c r="G422" s="4" t="s">
        <v>111</v>
      </c>
      <c r="H422" s="4" t="s">
        <v>117</v>
      </c>
      <c r="I422" s="9">
        <v>690</v>
      </c>
      <c r="J422" s="9" t="s">
        <v>126</v>
      </c>
      <c r="K422" s="8">
        <v>45236</v>
      </c>
      <c r="L422" s="21">
        <v>690</v>
      </c>
      <c r="M422" s="8"/>
      <c r="N422" s="21"/>
      <c r="O422" s="8"/>
      <c r="P422" s="21"/>
      <c r="Q422" s="8"/>
      <c r="R422" s="28"/>
    </row>
    <row r="423" spans="1:18">
      <c r="A423" s="1" t="s">
        <v>559</v>
      </c>
      <c r="B423" s="6" t="s">
        <v>53</v>
      </c>
      <c r="C423" s="7">
        <v>45512</v>
      </c>
      <c r="D423" s="25">
        <f t="shared" si="12"/>
        <v>8</v>
      </c>
      <c r="E423" s="25">
        <f t="shared" si="13"/>
        <v>2024</v>
      </c>
      <c r="F423" s="7" t="s">
        <v>102</v>
      </c>
      <c r="G423" s="4" t="s">
        <v>111</v>
      </c>
      <c r="H423" s="4" t="s">
        <v>117</v>
      </c>
      <c r="I423" s="9">
        <v>4101</v>
      </c>
      <c r="J423" s="9" t="s">
        <v>126</v>
      </c>
      <c r="K423" s="8">
        <v>45513</v>
      </c>
      <c r="L423" s="21">
        <v>4101</v>
      </c>
      <c r="M423" s="8"/>
      <c r="N423" s="21"/>
      <c r="O423" s="8"/>
      <c r="P423" s="21"/>
      <c r="Q423" s="8"/>
      <c r="R423" s="28"/>
    </row>
    <row r="424" spans="1:18">
      <c r="A424" s="1" t="s">
        <v>560</v>
      </c>
      <c r="B424" s="6" t="s">
        <v>42</v>
      </c>
      <c r="C424" s="7">
        <v>45380</v>
      </c>
      <c r="D424" s="25">
        <f t="shared" si="12"/>
        <v>3</v>
      </c>
      <c r="E424" s="25">
        <f t="shared" si="13"/>
        <v>2024</v>
      </c>
      <c r="F424" s="7" t="s">
        <v>91</v>
      </c>
      <c r="G424" s="4" t="s">
        <v>111</v>
      </c>
      <c r="H424" s="4" t="s">
        <v>117</v>
      </c>
      <c r="I424" s="9">
        <v>4789</v>
      </c>
      <c r="J424" s="9" t="s">
        <v>138</v>
      </c>
      <c r="K424" s="8">
        <v>45381</v>
      </c>
      <c r="L424" s="21">
        <v>2394.5</v>
      </c>
      <c r="M424" s="8">
        <v>45410</v>
      </c>
      <c r="N424" s="21">
        <v>2394.5</v>
      </c>
      <c r="O424" s="8"/>
      <c r="P424" s="21"/>
      <c r="Q424" s="8"/>
      <c r="R424" s="28"/>
    </row>
    <row r="425" spans="1:18">
      <c r="A425" s="1" t="s">
        <v>561</v>
      </c>
      <c r="B425" s="6" t="s">
        <v>42</v>
      </c>
      <c r="C425" s="7">
        <v>45285</v>
      </c>
      <c r="D425" s="25">
        <f t="shared" si="12"/>
        <v>12</v>
      </c>
      <c r="E425" s="25">
        <f t="shared" si="13"/>
        <v>2023</v>
      </c>
      <c r="F425" s="7" t="s">
        <v>91</v>
      </c>
      <c r="G425" s="4" t="s">
        <v>111</v>
      </c>
      <c r="H425" s="4" t="s">
        <v>117</v>
      </c>
      <c r="I425" s="9">
        <v>6021</v>
      </c>
      <c r="J425" s="9" t="s">
        <v>136</v>
      </c>
      <c r="K425" s="8">
        <v>45286</v>
      </c>
      <c r="L425" s="21">
        <v>1505.25</v>
      </c>
      <c r="M425" s="8">
        <v>45315</v>
      </c>
      <c r="N425" s="21">
        <v>1505.25</v>
      </c>
      <c r="O425" s="8">
        <v>45330</v>
      </c>
      <c r="P425" s="21">
        <v>1505.25</v>
      </c>
      <c r="Q425" s="8">
        <v>45345</v>
      </c>
      <c r="R425" s="28">
        <v>1505.25</v>
      </c>
    </row>
    <row r="426" spans="1:18">
      <c r="A426" s="1" t="s">
        <v>562</v>
      </c>
      <c r="B426" s="6" t="s">
        <v>17</v>
      </c>
      <c r="C426" s="7">
        <v>45269</v>
      </c>
      <c r="D426" s="25">
        <f t="shared" si="12"/>
        <v>12</v>
      </c>
      <c r="E426" s="25">
        <f t="shared" si="13"/>
        <v>2023</v>
      </c>
      <c r="F426" s="7" t="s">
        <v>66</v>
      </c>
      <c r="G426" s="4" t="s">
        <v>110</v>
      </c>
      <c r="H426" s="4" t="s">
        <v>114</v>
      </c>
      <c r="I426" s="9">
        <v>-1410</v>
      </c>
      <c r="J426" s="9" t="s">
        <v>138</v>
      </c>
      <c r="K426" s="8">
        <v>45270</v>
      </c>
      <c r="L426" s="21">
        <v>-705</v>
      </c>
      <c r="M426" s="8">
        <v>45299</v>
      </c>
      <c r="N426" s="21">
        <v>-705</v>
      </c>
      <c r="O426" s="8"/>
      <c r="P426" s="21"/>
      <c r="Q426" s="8"/>
      <c r="R426" s="28"/>
    </row>
    <row r="427" spans="1:18">
      <c r="A427" s="1" t="s">
        <v>563</v>
      </c>
      <c r="B427" s="6" t="s">
        <v>17</v>
      </c>
      <c r="C427" s="7">
        <v>45177</v>
      </c>
      <c r="D427" s="25">
        <f t="shared" si="12"/>
        <v>9</v>
      </c>
      <c r="E427" s="25">
        <f t="shared" si="13"/>
        <v>2023</v>
      </c>
      <c r="F427" s="7" t="s">
        <v>66</v>
      </c>
      <c r="G427" s="4" t="s">
        <v>110</v>
      </c>
      <c r="H427" s="4" t="s">
        <v>114</v>
      </c>
      <c r="I427" s="9">
        <v>-818</v>
      </c>
      <c r="J427" s="9" t="s">
        <v>137</v>
      </c>
      <c r="K427" s="8">
        <v>45178</v>
      </c>
      <c r="L427" s="21">
        <v>-272.66666666666669</v>
      </c>
      <c r="M427" s="8">
        <v>45207</v>
      </c>
      <c r="N427" s="21">
        <v>-272.66666666666669</v>
      </c>
      <c r="O427" s="8">
        <v>45222</v>
      </c>
      <c r="P427" s="21">
        <v>-272.66666666666669</v>
      </c>
      <c r="Q427" s="8"/>
      <c r="R427" s="28"/>
    </row>
    <row r="428" spans="1:18">
      <c r="A428" s="1" t="s">
        <v>564</v>
      </c>
      <c r="B428" s="6" t="s">
        <v>60</v>
      </c>
      <c r="C428" s="7">
        <v>45189</v>
      </c>
      <c r="D428" s="25">
        <f t="shared" si="12"/>
        <v>9</v>
      </c>
      <c r="E428" s="25">
        <f t="shared" si="13"/>
        <v>2023</v>
      </c>
      <c r="F428" s="7" t="s">
        <v>109</v>
      </c>
      <c r="G428" s="4" t="s">
        <v>111</v>
      </c>
      <c r="H428" s="4" t="s">
        <v>118</v>
      </c>
      <c r="I428" s="9">
        <v>1355</v>
      </c>
      <c r="J428" s="9" t="s">
        <v>137</v>
      </c>
      <c r="K428" s="8">
        <v>45190</v>
      </c>
      <c r="L428" s="21">
        <v>451.66666666666669</v>
      </c>
      <c r="M428" s="8">
        <v>45219</v>
      </c>
      <c r="N428" s="21">
        <v>451.66666666666669</v>
      </c>
      <c r="O428" s="8">
        <v>45234</v>
      </c>
      <c r="P428" s="21">
        <v>451.66666666666669</v>
      </c>
      <c r="Q428" s="8"/>
      <c r="R428" s="28"/>
    </row>
    <row r="429" spans="1:18">
      <c r="A429" s="1" t="s">
        <v>565</v>
      </c>
      <c r="B429" s="6" t="s">
        <v>31</v>
      </c>
      <c r="C429" s="7">
        <v>45076</v>
      </c>
      <c r="D429" s="25">
        <f t="shared" si="12"/>
        <v>5</v>
      </c>
      <c r="E429" s="25">
        <f t="shared" si="13"/>
        <v>2023</v>
      </c>
      <c r="F429" s="7" t="s">
        <v>80</v>
      </c>
      <c r="G429" s="4" t="s">
        <v>111</v>
      </c>
      <c r="H429" s="4" t="s">
        <v>117</v>
      </c>
      <c r="I429" s="9">
        <v>2689</v>
      </c>
      <c r="J429" s="9" t="s">
        <v>126</v>
      </c>
      <c r="K429" s="8">
        <v>45077</v>
      </c>
      <c r="L429" s="21">
        <v>2689</v>
      </c>
      <c r="M429" s="8"/>
      <c r="N429" s="21"/>
      <c r="O429" s="8"/>
      <c r="P429" s="21"/>
      <c r="Q429" s="8"/>
      <c r="R429" s="28"/>
    </row>
    <row r="430" spans="1:18">
      <c r="A430" s="1" t="s">
        <v>566</v>
      </c>
      <c r="B430" s="6" t="s">
        <v>51</v>
      </c>
      <c r="C430" s="7">
        <v>45255</v>
      </c>
      <c r="D430" s="25">
        <f t="shared" si="12"/>
        <v>11</v>
      </c>
      <c r="E430" s="25">
        <f t="shared" si="13"/>
        <v>2023</v>
      </c>
      <c r="F430" s="7" t="s">
        <v>100</v>
      </c>
      <c r="G430" s="4" t="s">
        <v>111</v>
      </c>
      <c r="H430" s="4" t="s">
        <v>121</v>
      </c>
      <c r="I430" s="9">
        <v>3042</v>
      </c>
      <c r="J430" s="9" t="s">
        <v>136</v>
      </c>
      <c r="K430" s="8">
        <v>45256</v>
      </c>
      <c r="L430" s="21">
        <v>760.5</v>
      </c>
      <c r="M430" s="8">
        <v>45285</v>
      </c>
      <c r="N430" s="21">
        <v>760.5</v>
      </c>
      <c r="O430" s="8">
        <v>45300</v>
      </c>
      <c r="P430" s="21">
        <v>760.5</v>
      </c>
      <c r="Q430" s="8">
        <v>45315</v>
      </c>
      <c r="R430" s="28">
        <v>760.5</v>
      </c>
    </row>
    <row r="431" spans="1:18">
      <c r="A431" s="1" t="s">
        <v>567</v>
      </c>
      <c r="B431" s="6" t="s">
        <v>16</v>
      </c>
      <c r="C431" s="7">
        <v>45271</v>
      </c>
      <c r="D431" s="25">
        <f t="shared" si="12"/>
        <v>12</v>
      </c>
      <c r="E431" s="25">
        <f t="shared" si="13"/>
        <v>2023</v>
      </c>
      <c r="F431" s="7" t="s">
        <v>65</v>
      </c>
      <c r="G431" s="4" t="s">
        <v>110</v>
      </c>
      <c r="H431" s="4" t="s">
        <v>125</v>
      </c>
      <c r="I431" s="9">
        <v>-4050</v>
      </c>
      <c r="J431" s="9" t="s">
        <v>126</v>
      </c>
      <c r="K431" s="8">
        <v>45272</v>
      </c>
      <c r="L431" s="21">
        <v>-4050</v>
      </c>
      <c r="M431" s="8"/>
      <c r="N431" s="21"/>
      <c r="O431" s="8"/>
      <c r="P431" s="21"/>
      <c r="Q431" s="8"/>
      <c r="R431" s="28"/>
    </row>
    <row r="432" spans="1:18">
      <c r="A432" s="1" t="s">
        <v>568</v>
      </c>
      <c r="B432" s="6" t="s">
        <v>13</v>
      </c>
      <c r="C432" s="7">
        <v>45280</v>
      </c>
      <c r="D432" s="25">
        <f t="shared" si="12"/>
        <v>12</v>
      </c>
      <c r="E432" s="25">
        <f t="shared" si="13"/>
        <v>2023</v>
      </c>
      <c r="F432" s="7" t="s">
        <v>63</v>
      </c>
      <c r="G432" s="4" t="s">
        <v>111</v>
      </c>
      <c r="H432" s="4" t="s">
        <v>120</v>
      </c>
      <c r="I432" s="9">
        <v>3048</v>
      </c>
      <c r="J432" s="9" t="s">
        <v>136</v>
      </c>
      <c r="K432" s="8">
        <v>45281</v>
      </c>
      <c r="L432" s="21">
        <v>762</v>
      </c>
      <c r="M432" s="8">
        <v>45310</v>
      </c>
      <c r="N432" s="21">
        <v>762</v>
      </c>
      <c r="O432" s="8">
        <v>45325</v>
      </c>
      <c r="P432" s="21">
        <v>762</v>
      </c>
      <c r="Q432" s="8">
        <v>45340</v>
      </c>
      <c r="R432" s="28">
        <v>762</v>
      </c>
    </row>
    <row r="433" spans="1:18">
      <c r="A433" s="1" t="s">
        <v>569</v>
      </c>
      <c r="B433" s="6" t="s">
        <v>14</v>
      </c>
      <c r="C433" s="7">
        <v>45306</v>
      </c>
      <c r="D433" s="25">
        <f t="shared" si="12"/>
        <v>1</v>
      </c>
      <c r="E433" s="25">
        <f t="shared" si="13"/>
        <v>2024</v>
      </c>
      <c r="F433" s="7" t="s">
        <v>61</v>
      </c>
      <c r="G433" s="4" t="s">
        <v>110</v>
      </c>
      <c r="H433" s="4" t="s">
        <v>113</v>
      </c>
      <c r="I433" s="9">
        <v>-3601</v>
      </c>
      <c r="J433" s="9" t="s">
        <v>126</v>
      </c>
      <c r="K433" s="8">
        <v>45307</v>
      </c>
      <c r="L433" s="21">
        <v>-3601</v>
      </c>
      <c r="M433" s="8"/>
      <c r="N433" s="21"/>
      <c r="O433" s="8"/>
      <c r="P433" s="21"/>
      <c r="Q433" s="8"/>
      <c r="R433" s="28"/>
    </row>
    <row r="434" spans="1:18">
      <c r="A434" s="1" t="s">
        <v>570</v>
      </c>
      <c r="B434" s="6" t="s">
        <v>50</v>
      </c>
      <c r="C434" s="7">
        <v>45178</v>
      </c>
      <c r="D434" s="25">
        <f t="shared" si="12"/>
        <v>9</v>
      </c>
      <c r="E434" s="25">
        <f t="shared" si="13"/>
        <v>2023</v>
      </c>
      <c r="F434" s="7" t="s">
        <v>99</v>
      </c>
      <c r="G434" s="4" t="s">
        <v>110</v>
      </c>
      <c r="H434" s="4" t="s">
        <v>114</v>
      </c>
      <c r="I434" s="9">
        <v>-2213</v>
      </c>
      <c r="J434" s="9" t="s">
        <v>136</v>
      </c>
      <c r="K434" s="8">
        <v>45179</v>
      </c>
      <c r="L434" s="21">
        <v>-553.25</v>
      </c>
      <c r="M434" s="8">
        <v>45208</v>
      </c>
      <c r="N434" s="21">
        <v>-553.25</v>
      </c>
      <c r="O434" s="8">
        <v>45223</v>
      </c>
      <c r="P434" s="21">
        <v>-553.25</v>
      </c>
      <c r="Q434" s="8">
        <v>45238</v>
      </c>
      <c r="R434" s="28">
        <v>-553.25</v>
      </c>
    </row>
    <row r="435" spans="1:18">
      <c r="A435" s="1" t="s">
        <v>571</v>
      </c>
      <c r="B435" s="6" t="s">
        <v>24</v>
      </c>
      <c r="C435" s="7">
        <v>45204</v>
      </c>
      <c r="D435" s="25">
        <f t="shared" si="12"/>
        <v>10</v>
      </c>
      <c r="E435" s="25">
        <f t="shared" si="13"/>
        <v>2023</v>
      </c>
      <c r="F435" s="7" t="s">
        <v>73</v>
      </c>
      <c r="G435" s="4" t="s">
        <v>112</v>
      </c>
      <c r="H435" s="4" t="s">
        <v>122</v>
      </c>
      <c r="I435" s="9">
        <v>8007</v>
      </c>
      <c r="J435" s="9" t="s">
        <v>126</v>
      </c>
      <c r="K435" s="8">
        <v>45205</v>
      </c>
      <c r="L435" s="21">
        <v>8007</v>
      </c>
      <c r="M435" s="8"/>
      <c r="N435" s="21"/>
      <c r="O435" s="8"/>
      <c r="P435" s="21"/>
      <c r="Q435" s="8"/>
      <c r="R435" s="28"/>
    </row>
    <row r="436" spans="1:18">
      <c r="A436" s="1" t="s">
        <v>572</v>
      </c>
      <c r="B436" s="6" t="s">
        <v>51</v>
      </c>
      <c r="C436" s="7">
        <v>45442</v>
      </c>
      <c r="D436" s="25">
        <f t="shared" si="12"/>
        <v>5</v>
      </c>
      <c r="E436" s="25">
        <f t="shared" si="13"/>
        <v>2024</v>
      </c>
      <c r="F436" s="7" t="s">
        <v>100</v>
      </c>
      <c r="G436" s="4" t="s">
        <v>111</v>
      </c>
      <c r="H436" s="4" t="s">
        <v>121</v>
      </c>
      <c r="I436" s="9">
        <v>8142</v>
      </c>
      <c r="J436" s="9" t="s">
        <v>137</v>
      </c>
      <c r="K436" s="8">
        <v>45443</v>
      </c>
      <c r="L436" s="21">
        <v>2714</v>
      </c>
      <c r="M436" s="8">
        <v>45472</v>
      </c>
      <c r="N436" s="21">
        <v>2714</v>
      </c>
      <c r="O436" s="8">
        <v>45487</v>
      </c>
      <c r="P436" s="21">
        <v>2714</v>
      </c>
      <c r="Q436" s="8"/>
      <c r="R436" s="28"/>
    </row>
    <row r="437" spans="1:18">
      <c r="A437" s="1" t="s">
        <v>573</v>
      </c>
      <c r="B437" s="6" t="s">
        <v>23</v>
      </c>
      <c r="C437" s="7">
        <v>45258</v>
      </c>
      <c r="D437" s="25">
        <f t="shared" si="12"/>
        <v>11</v>
      </c>
      <c r="E437" s="25">
        <f t="shared" si="13"/>
        <v>2023</v>
      </c>
      <c r="F437" s="7" t="s">
        <v>72</v>
      </c>
      <c r="G437" s="4" t="s">
        <v>110</v>
      </c>
      <c r="H437" s="4" t="s">
        <v>113</v>
      </c>
      <c r="I437" s="9">
        <v>-6611</v>
      </c>
      <c r="J437" s="9" t="s">
        <v>137</v>
      </c>
      <c r="K437" s="8">
        <v>45259</v>
      </c>
      <c r="L437" s="21">
        <v>-2203.6666666666665</v>
      </c>
      <c r="M437" s="8">
        <v>45288</v>
      </c>
      <c r="N437" s="21">
        <v>-2203.6666666666665</v>
      </c>
      <c r="O437" s="8">
        <v>45303</v>
      </c>
      <c r="P437" s="21">
        <v>-2203.6666666666665</v>
      </c>
      <c r="Q437" s="8"/>
      <c r="R437" s="28"/>
    </row>
    <row r="438" spans="1:18">
      <c r="A438" s="1" t="s">
        <v>574</v>
      </c>
      <c r="B438" s="6" t="s">
        <v>49</v>
      </c>
      <c r="C438" s="7">
        <v>45159</v>
      </c>
      <c r="D438" s="25">
        <f t="shared" si="12"/>
        <v>8</v>
      </c>
      <c r="E438" s="25">
        <f t="shared" si="13"/>
        <v>2023</v>
      </c>
      <c r="F438" s="7" t="s">
        <v>98</v>
      </c>
      <c r="G438" s="4" t="s">
        <v>110</v>
      </c>
      <c r="H438" s="4" t="s">
        <v>125</v>
      </c>
      <c r="I438" s="9">
        <v>-4532</v>
      </c>
      <c r="J438" s="9" t="s">
        <v>137</v>
      </c>
      <c r="K438" s="8">
        <v>45160</v>
      </c>
      <c r="L438" s="21">
        <v>-1510.6666666666667</v>
      </c>
      <c r="M438" s="8">
        <v>45189</v>
      </c>
      <c r="N438" s="21">
        <v>-1510.6666666666667</v>
      </c>
      <c r="O438" s="8">
        <v>45204</v>
      </c>
      <c r="P438" s="21">
        <v>-1510.6666666666667</v>
      </c>
      <c r="Q438" s="8"/>
      <c r="R438" s="28"/>
    </row>
    <row r="439" spans="1:18">
      <c r="A439" s="1" t="s">
        <v>575</v>
      </c>
      <c r="B439" s="6" t="s">
        <v>58</v>
      </c>
      <c r="C439" s="7">
        <v>45316</v>
      </c>
      <c r="D439" s="25">
        <f t="shared" si="12"/>
        <v>1</v>
      </c>
      <c r="E439" s="25">
        <f t="shared" si="13"/>
        <v>2024</v>
      </c>
      <c r="F439" s="7" t="s">
        <v>107</v>
      </c>
      <c r="G439" s="4" t="s">
        <v>111</v>
      </c>
      <c r="H439" s="4" t="s">
        <v>120</v>
      </c>
      <c r="I439" s="9">
        <v>4881</v>
      </c>
      <c r="J439" s="9" t="s">
        <v>137</v>
      </c>
      <c r="K439" s="8">
        <v>45317</v>
      </c>
      <c r="L439" s="21">
        <v>1627</v>
      </c>
      <c r="M439" s="8">
        <v>45346</v>
      </c>
      <c r="N439" s="21">
        <v>1627</v>
      </c>
      <c r="O439" s="8">
        <v>45361</v>
      </c>
      <c r="P439" s="21">
        <v>1627</v>
      </c>
      <c r="Q439" s="8"/>
      <c r="R439" s="28"/>
    </row>
    <row r="440" spans="1:18">
      <c r="A440" s="1" t="s">
        <v>576</v>
      </c>
      <c r="B440" s="6" t="s">
        <v>56</v>
      </c>
      <c r="C440" s="7">
        <v>45484</v>
      </c>
      <c r="D440" s="25">
        <f t="shared" si="12"/>
        <v>7</v>
      </c>
      <c r="E440" s="25">
        <f t="shared" si="13"/>
        <v>2024</v>
      </c>
      <c r="F440" s="7" t="s">
        <v>105</v>
      </c>
      <c r="G440" s="4" t="s">
        <v>110</v>
      </c>
      <c r="H440" s="4" t="s">
        <v>113</v>
      </c>
      <c r="I440" s="9">
        <v>-708</v>
      </c>
      <c r="J440" s="9" t="s">
        <v>138</v>
      </c>
      <c r="K440" s="8">
        <v>45485</v>
      </c>
      <c r="L440" s="21">
        <v>-354</v>
      </c>
      <c r="M440" s="8">
        <v>45514</v>
      </c>
      <c r="N440" s="21">
        <v>-354</v>
      </c>
      <c r="O440" s="8"/>
      <c r="P440" s="21"/>
      <c r="Q440" s="8"/>
      <c r="R440" s="28"/>
    </row>
    <row r="441" spans="1:18">
      <c r="A441" s="1" t="s">
        <v>577</v>
      </c>
      <c r="B441" s="6" t="s">
        <v>32</v>
      </c>
      <c r="C441" s="7">
        <v>45375</v>
      </c>
      <c r="D441" s="25">
        <f t="shared" si="12"/>
        <v>3</v>
      </c>
      <c r="E441" s="25">
        <f t="shared" si="13"/>
        <v>2024</v>
      </c>
      <c r="F441" s="7" t="s">
        <v>81</v>
      </c>
      <c r="G441" s="4" t="s">
        <v>110</v>
      </c>
      <c r="H441" s="4" t="s">
        <v>124</v>
      </c>
      <c r="I441" s="9">
        <v>-2981</v>
      </c>
      <c r="J441" s="9" t="s">
        <v>136</v>
      </c>
      <c r="K441" s="8">
        <v>45376</v>
      </c>
      <c r="L441" s="21">
        <v>-745.25</v>
      </c>
      <c r="M441" s="8">
        <v>45405</v>
      </c>
      <c r="N441" s="21">
        <v>-745.25</v>
      </c>
      <c r="O441" s="8">
        <v>45420</v>
      </c>
      <c r="P441" s="21">
        <v>-745.25</v>
      </c>
      <c r="Q441" s="8">
        <v>45435</v>
      </c>
      <c r="R441" s="28">
        <v>-745.25</v>
      </c>
    </row>
    <row r="442" spans="1:18">
      <c r="A442" s="1" t="s">
        <v>578</v>
      </c>
      <c r="B442" s="6" t="s">
        <v>41</v>
      </c>
      <c r="C442" s="7">
        <v>45211</v>
      </c>
      <c r="D442" s="25">
        <f t="shared" si="12"/>
        <v>10</v>
      </c>
      <c r="E442" s="25">
        <f t="shared" si="13"/>
        <v>2023</v>
      </c>
      <c r="F442" s="7" t="s">
        <v>90</v>
      </c>
      <c r="G442" s="4" t="s">
        <v>111</v>
      </c>
      <c r="H442" s="4" t="s">
        <v>118</v>
      </c>
      <c r="I442" s="9">
        <v>5334</v>
      </c>
      <c r="J442" s="9" t="s">
        <v>126</v>
      </c>
      <c r="K442" s="8">
        <v>45212</v>
      </c>
      <c r="L442" s="21">
        <v>5334</v>
      </c>
      <c r="M442" s="8"/>
      <c r="N442" s="21"/>
      <c r="O442" s="8"/>
      <c r="P442" s="21"/>
      <c r="Q442" s="8"/>
      <c r="R442" s="28"/>
    </row>
    <row r="443" spans="1:18">
      <c r="A443" s="1" t="s">
        <v>579</v>
      </c>
      <c r="B443" s="6" t="s">
        <v>26</v>
      </c>
      <c r="C443" s="7">
        <v>45309</v>
      </c>
      <c r="D443" s="25">
        <f t="shared" si="12"/>
        <v>1</v>
      </c>
      <c r="E443" s="25">
        <f t="shared" si="13"/>
        <v>2024</v>
      </c>
      <c r="F443" s="7" t="s">
        <v>75</v>
      </c>
      <c r="G443" s="4" t="s">
        <v>112</v>
      </c>
      <c r="H443" s="4" t="s">
        <v>123</v>
      </c>
      <c r="I443" s="9">
        <v>3281</v>
      </c>
      <c r="J443" s="9" t="s">
        <v>126</v>
      </c>
      <c r="K443" s="8">
        <v>45310</v>
      </c>
      <c r="L443" s="21">
        <v>3281</v>
      </c>
      <c r="M443" s="8"/>
      <c r="N443" s="21"/>
      <c r="O443" s="8"/>
      <c r="P443" s="21"/>
      <c r="Q443" s="8"/>
      <c r="R443" s="28"/>
    </row>
    <row r="444" spans="1:18">
      <c r="A444" s="1" t="s">
        <v>580</v>
      </c>
      <c r="B444" s="6" t="s">
        <v>60</v>
      </c>
      <c r="C444" s="7">
        <v>45281</v>
      </c>
      <c r="D444" s="25">
        <f t="shared" si="12"/>
        <v>12</v>
      </c>
      <c r="E444" s="25">
        <f t="shared" si="13"/>
        <v>2023</v>
      </c>
      <c r="F444" s="7" t="s">
        <v>109</v>
      </c>
      <c r="G444" s="4" t="s">
        <v>111</v>
      </c>
      <c r="H444" s="4" t="s">
        <v>118</v>
      </c>
      <c r="I444" s="9">
        <v>7392</v>
      </c>
      <c r="J444" s="9" t="s">
        <v>138</v>
      </c>
      <c r="K444" s="8">
        <v>45282</v>
      </c>
      <c r="L444" s="21">
        <v>3696</v>
      </c>
      <c r="M444" s="8">
        <v>45311</v>
      </c>
      <c r="N444" s="21">
        <v>3696</v>
      </c>
      <c r="O444" s="8"/>
      <c r="P444" s="21"/>
      <c r="Q444" s="8"/>
      <c r="R444" s="28"/>
    </row>
    <row r="445" spans="1:18">
      <c r="A445" s="1" t="s">
        <v>581</v>
      </c>
      <c r="B445" s="6" t="s">
        <v>52</v>
      </c>
      <c r="C445" s="7">
        <v>45408</v>
      </c>
      <c r="D445" s="25">
        <f t="shared" si="12"/>
        <v>4</v>
      </c>
      <c r="E445" s="25">
        <f t="shared" si="13"/>
        <v>2024</v>
      </c>
      <c r="F445" s="7" t="s">
        <v>101</v>
      </c>
      <c r="G445" s="4" t="s">
        <v>111</v>
      </c>
      <c r="H445" s="4" t="s">
        <v>118</v>
      </c>
      <c r="I445" s="9">
        <v>3364</v>
      </c>
      <c r="J445" s="9" t="s">
        <v>136</v>
      </c>
      <c r="K445" s="8">
        <v>45409</v>
      </c>
      <c r="L445" s="21">
        <v>841</v>
      </c>
      <c r="M445" s="8">
        <v>45438</v>
      </c>
      <c r="N445" s="21">
        <v>841</v>
      </c>
      <c r="O445" s="8">
        <v>45453</v>
      </c>
      <c r="P445" s="21">
        <v>841</v>
      </c>
      <c r="Q445" s="8">
        <v>45468</v>
      </c>
      <c r="R445" s="28">
        <v>841</v>
      </c>
    </row>
    <row r="446" spans="1:18">
      <c r="A446" s="1" t="s">
        <v>582</v>
      </c>
      <c r="B446" s="6" t="s">
        <v>21</v>
      </c>
      <c r="C446" s="7">
        <v>45291</v>
      </c>
      <c r="D446" s="25">
        <f t="shared" si="12"/>
        <v>12</v>
      </c>
      <c r="E446" s="25">
        <f t="shared" si="13"/>
        <v>2023</v>
      </c>
      <c r="F446" s="7" t="s">
        <v>70</v>
      </c>
      <c r="G446" s="4" t="s">
        <v>110</v>
      </c>
      <c r="H446" s="4" t="s">
        <v>124</v>
      </c>
      <c r="I446" s="9">
        <v>-870</v>
      </c>
      <c r="J446" s="9" t="s">
        <v>126</v>
      </c>
      <c r="K446" s="8">
        <v>45292</v>
      </c>
      <c r="L446" s="21">
        <v>-870</v>
      </c>
      <c r="M446" s="8"/>
      <c r="N446" s="21"/>
      <c r="O446" s="8"/>
      <c r="P446" s="21"/>
      <c r="Q446" s="8"/>
      <c r="R446" s="28"/>
    </row>
    <row r="447" spans="1:18">
      <c r="A447" s="1" t="s">
        <v>583</v>
      </c>
      <c r="B447" s="6" t="s">
        <v>38</v>
      </c>
      <c r="C447" s="7">
        <v>45477</v>
      </c>
      <c r="D447" s="25">
        <f t="shared" si="12"/>
        <v>7</v>
      </c>
      <c r="E447" s="25">
        <f t="shared" si="13"/>
        <v>2024</v>
      </c>
      <c r="F447" s="7" t="s">
        <v>87</v>
      </c>
      <c r="G447" s="4" t="s">
        <v>110</v>
      </c>
      <c r="H447" s="4" t="s">
        <v>125</v>
      </c>
      <c r="I447" s="9">
        <v>-5221</v>
      </c>
      <c r="J447" s="9" t="s">
        <v>126</v>
      </c>
      <c r="K447" s="8">
        <v>45478</v>
      </c>
      <c r="L447" s="21">
        <v>-5221</v>
      </c>
      <c r="M447" s="8"/>
      <c r="N447" s="21"/>
      <c r="O447" s="8"/>
      <c r="P447" s="21"/>
      <c r="Q447" s="8"/>
      <c r="R447" s="28"/>
    </row>
    <row r="448" spans="1:18">
      <c r="A448" s="1" t="s">
        <v>584</v>
      </c>
      <c r="B448" s="6" t="s">
        <v>14</v>
      </c>
      <c r="C448" s="7">
        <v>45222</v>
      </c>
      <c r="D448" s="25">
        <f t="shared" si="12"/>
        <v>10</v>
      </c>
      <c r="E448" s="25">
        <f t="shared" si="13"/>
        <v>2023</v>
      </c>
      <c r="F448" s="7" t="s">
        <v>61</v>
      </c>
      <c r="G448" s="4" t="s">
        <v>110</v>
      </c>
      <c r="H448" s="4" t="s">
        <v>113</v>
      </c>
      <c r="I448" s="9">
        <v>-8538</v>
      </c>
      <c r="J448" s="9" t="s">
        <v>126</v>
      </c>
      <c r="K448" s="8">
        <v>45223</v>
      </c>
      <c r="L448" s="21">
        <v>-8538</v>
      </c>
      <c r="M448" s="8"/>
      <c r="N448" s="21"/>
      <c r="O448" s="8"/>
      <c r="P448" s="21"/>
      <c r="Q448" s="8"/>
      <c r="R448" s="28"/>
    </row>
    <row r="449" spans="1:18">
      <c r="A449" s="1" t="s">
        <v>585</v>
      </c>
      <c r="B449" s="6" t="s">
        <v>12</v>
      </c>
      <c r="C449" s="7">
        <v>45322</v>
      </c>
      <c r="D449" s="25">
        <f t="shared" si="12"/>
        <v>1</v>
      </c>
      <c r="E449" s="25">
        <f t="shared" si="13"/>
        <v>2024</v>
      </c>
      <c r="F449" s="7" t="s">
        <v>62</v>
      </c>
      <c r="G449" s="4" t="s">
        <v>112</v>
      </c>
      <c r="H449" s="4" t="s">
        <v>122</v>
      </c>
      <c r="I449" s="9">
        <v>1688</v>
      </c>
      <c r="J449" s="9" t="s">
        <v>126</v>
      </c>
      <c r="K449" s="8">
        <v>45323</v>
      </c>
      <c r="L449" s="21">
        <v>1688</v>
      </c>
      <c r="M449" s="8"/>
      <c r="N449" s="21"/>
      <c r="O449" s="8"/>
      <c r="P449" s="21"/>
      <c r="Q449" s="8"/>
      <c r="R449" s="28"/>
    </row>
    <row r="450" spans="1:18">
      <c r="A450" s="1" t="s">
        <v>586</v>
      </c>
      <c r="B450" s="6" t="s">
        <v>44</v>
      </c>
      <c r="C450" s="7">
        <v>45079</v>
      </c>
      <c r="D450" s="25">
        <f t="shared" si="12"/>
        <v>6</v>
      </c>
      <c r="E450" s="25">
        <f t="shared" si="13"/>
        <v>2023</v>
      </c>
      <c r="F450" s="7" t="s">
        <v>93</v>
      </c>
      <c r="G450" s="4" t="s">
        <v>111</v>
      </c>
      <c r="H450" s="4" t="s">
        <v>119</v>
      </c>
      <c r="I450" s="9">
        <v>1112</v>
      </c>
      <c r="J450" s="9" t="s">
        <v>137</v>
      </c>
      <c r="K450" s="8">
        <v>45080</v>
      </c>
      <c r="L450" s="21">
        <v>370.66666666666669</v>
      </c>
      <c r="M450" s="8">
        <v>45109</v>
      </c>
      <c r="N450" s="21">
        <v>370.66666666666669</v>
      </c>
      <c r="O450" s="8">
        <v>45124</v>
      </c>
      <c r="P450" s="21">
        <v>370.66666666666669</v>
      </c>
      <c r="Q450" s="8"/>
      <c r="R450" s="28"/>
    </row>
    <row r="451" spans="1:18">
      <c r="A451" s="1" t="s">
        <v>587</v>
      </c>
      <c r="B451" s="6" t="s">
        <v>47</v>
      </c>
      <c r="C451" s="7">
        <v>45304</v>
      </c>
      <c r="D451" s="25">
        <f t="shared" si="12"/>
        <v>1</v>
      </c>
      <c r="E451" s="25">
        <f t="shared" si="13"/>
        <v>2024</v>
      </c>
      <c r="F451" s="7" t="s">
        <v>96</v>
      </c>
      <c r="G451" s="4" t="s">
        <v>111</v>
      </c>
      <c r="H451" s="4" t="s">
        <v>120</v>
      </c>
      <c r="I451" s="9">
        <v>8387</v>
      </c>
      <c r="J451" s="9" t="s">
        <v>126</v>
      </c>
      <c r="K451" s="8">
        <v>45305</v>
      </c>
      <c r="L451" s="21">
        <v>8387</v>
      </c>
      <c r="M451" s="8"/>
      <c r="N451" s="21"/>
      <c r="O451" s="8"/>
      <c r="P451" s="21"/>
      <c r="Q451" s="8"/>
      <c r="R451" s="28"/>
    </row>
    <row r="452" spans="1:18">
      <c r="A452" s="1" t="s">
        <v>588</v>
      </c>
      <c r="B452" s="6" t="s">
        <v>41</v>
      </c>
      <c r="C452" s="7">
        <v>45295</v>
      </c>
      <c r="D452" s="25">
        <f t="shared" ref="D452:D501" si="14">MONTH(C452)</f>
        <v>1</v>
      </c>
      <c r="E452" s="25">
        <f t="shared" ref="E452:E501" si="15">YEAR(C452)</f>
        <v>2024</v>
      </c>
      <c r="F452" s="7" t="s">
        <v>90</v>
      </c>
      <c r="G452" s="4" t="s">
        <v>111</v>
      </c>
      <c r="H452" s="4" t="s">
        <v>118</v>
      </c>
      <c r="I452" s="9">
        <v>1802</v>
      </c>
      <c r="J452" s="9" t="s">
        <v>138</v>
      </c>
      <c r="K452" s="8">
        <v>45296</v>
      </c>
      <c r="L452" s="21">
        <v>901</v>
      </c>
      <c r="M452" s="8">
        <v>45325</v>
      </c>
      <c r="N452" s="21">
        <v>901</v>
      </c>
      <c r="O452" s="8"/>
      <c r="P452" s="21"/>
      <c r="Q452" s="8"/>
      <c r="R452" s="28"/>
    </row>
    <row r="453" spans="1:18">
      <c r="A453" s="1" t="s">
        <v>589</v>
      </c>
      <c r="B453" s="6" t="s">
        <v>23</v>
      </c>
      <c r="C453" s="7">
        <v>45187</v>
      </c>
      <c r="D453" s="25">
        <f t="shared" si="14"/>
        <v>9</v>
      </c>
      <c r="E453" s="25">
        <f t="shared" si="15"/>
        <v>2023</v>
      </c>
      <c r="F453" s="7" t="s">
        <v>72</v>
      </c>
      <c r="G453" s="4" t="s">
        <v>110</v>
      </c>
      <c r="H453" s="4" t="s">
        <v>113</v>
      </c>
      <c r="I453" s="9">
        <v>-5788</v>
      </c>
      <c r="J453" s="9" t="s">
        <v>138</v>
      </c>
      <c r="K453" s="8">
        <v>45188</v>
      </c>
      <c r="L453" s="21">
        <v>-2894</v>
      </c>
      <c r="M453" s="8">
        <v>45217</v>
      </c>
      <c r="N453" s="21">
        <v>-2894</v>
      </c>
      <c r="O453" s="8"/>
      <c r="P453" s="21"/>
      <c r="Q453" s="8"/>
      <c r="R453" s="28"/>
    </row>
    <row r="454" spans="1:18">
      <c r="A454" s="1" t="s">
        <v>590</v>
      </c>
      <c r="B454" s="6" t="s">
        <v>17</v>
      </c>
      <c r="C454" s="7">
        <v>45254</v>
      </c>
      <c r="D454" s="25">
        <f t="shared" si="14"/>
        <v>11</v>
      </c>
      <c r="E454" s="25">
        <f t="shared" si="15"/>
        <v>2023</v>
      </c>
      <c r="F454" s="7" t="s">
        <v>66</v>
      </c>
      <c r="G454" s="4" t="s">
        <v>110</v>
      </c>
      <c r="H454" s="4" t="s">
        <v>114</v>
      </c>
      <c r="I454" s="9">
        <v>-5519</v>
      </c>
      <c r="J454" s="9" t="s">
        <v>136</v>
      </c>
      <c r="K454" s="8">
        <v>45255</v>
      </c>
      <c r="L454" s="21">
        <v>-1379.75</v>
      </c>
      <c r="M454" s="8">
        <v>45284</v>
      </c>
      <c r="N454" s="21">
        <v>-1379.75</v>
      </c>
      <c r="O454" s="8">
        <v>45299</v>
      </c>
      <c r="P454" s="21">
        <v>-1379.75</v>
      </c>
      <c r="Q454" s="8">
        <v>45314</v>
      </c>
      <c r="R454" s="28">
        <v>-1379.75</v>
      </c>
    </row>
    <row r="455" spans="1:18">
      <c r="A455" s="1" t="s">
        <v>591</v>
      </c>
      <c r="B455" s="6" t="s">
        <v>41</v>
      </c>
      <c r="C455" s="7">
        <v>45006</v>
      </c>
      <c r="D455" s="25">
        <f t="shared" si="14"/>
        <v>3</v>
      </c>
      <c r="E455" s="25">
        <f t="shared" si="15"/>
        <v>2023</v>
      </c>
      <c r="F455" s="7" t="s">
        <v>90</v>
      </c>
      <c r="G455" s="4" t="s">
        <v>111</v>
      </c>
      <c r="H455" s="4" t="s">
        <v>118</v>
      </c>
      <c r="I455" s="9">
        <v>9182</v>
      </c>
      <c r="J455" s="9" t="s">
        <v>126</v>
      </c>
      <c r="K455" s="8">
        <v>45007</v>
      </c>
      <c r="L455" s="21">
        <v>9182</v>
      </c>
      <c r="M455" s="8"/>
      <c r="N455" s="21"/>
      <c r="O455" s="8"/>
      <c r="P455" s="21"/>
      <c r="Q455" s="8"/>
      <c r="R455" s="28"/>
    </row>
    <row r="456" spans="1:18">
      <c r="A456" s="1" t="s">
        <v>592</v>
      </c>
      <c r="B456" s="6" t="s">
        <v>21</v>
      </c>
      <c r="C456" s="7">
        <v>45171</v>
      </c>
      <c r="D456" s="25">
        <f t="shared" si="14"/>
        <v>9</v>
      </c>
      <c r="E456" s="25">
        <f t="shared" si="15"/>
        <v>2023</v>
      </c>
      <c r="F456" s="7" t="s">
        <v>70</v>
      </c>
      <c r="G456" s="4" t="s">
        <v>110</v>
      </c>
      <c r="H456" s="4" t="s">
        <v>124</v>
      </c>
      <c r="I456" s="9">
        <v>-3154</v>
      </c>
      <c r="J456" s="9" t="s">
        <v>136</v>
      </c>
      <c r="K456" s="8">
        <v>45172</v>
      </c>
      <c r="L456" s="21">
        <v>-788.5</v>
      </c>
      <c r="M456" s="8">
        <v>45201</v>
      </c>
      <c r="N456" s="21">
        <v>-788.5</v>
      </c>
      <c r="O456" s="8">
        <v>45216</v>
      </c>
      <c r="P456" s="21">
        <v>-788.5</v>
      </c>
      <c r="Q456" s="8">
        <v>45231</v>
      </c>
      <c r="R456" s="28">
        <v>-788.5</v>
      </c>
    </row>
    <row r="457" spans="1:18">
      <c r="A457" s="1" t="s">
        <v>593</v>
      </c>
      <c r="B457" s="6" t="s">
        <v>37</v>
      </c>
      <c r="C457" s="7">
        <v>45437</v>
      </c>
      <c r="D457" s="25">
        <f t="shared" si="14"/>
        <v>5</v>
      </c>
      <c r="E457" s="25">
        <f t="shared" si="15"/>
        <v>2024</v>
      </c>
      <c r="F457" s="7" t="s">
        <v>86</v>
      </c>
      <c r="G457" s="4" t="s">
        <v>112</v>
      </c>
      <c r="H457" s="4" t="s">
        <v>123</v>
      </c>
      <c r="I457" s="9">
        <v>6164</v>
      </c>
      <c r="J457" s="9" t="s">
        <v>126</v>
      </c>
      <c r="K457" s="8">
        <v>45438</v>
      </c>
      <c r="L457" s="21">
        <v>6164</v>
      </c>
      <c r="M457" s="8"/>
      <c r="N457" s="21"/>
      <c r="O457" s="8"/>
      <c r="P457" s="21"/>
      <c r="Q457" s="8"/>
      <c r="R457" s="28"/>
    </row>
    <row r="458" spans="1:18">
      <c r="A458" s="1" t="s">
        <v>594</v>
      </c>
      <c r="B458" s="6" t="s">
        <v>18</v>
      </c>
      <c r="C458" s="7">
        <v>45507</v>
      </c>
      <c r="D458" s="25">
        <f t="shared" si="14"/>
        <v>8</v>
      </c>
      <c r="E458" s="25">
        <f t="shared" si="15"/>
        <v>2024</v>
      </c>
      <c r="F458" s="7" t="s">
        <v>67</v>
      </c>
      <c r="G458" s="4" t="s">
        <v>111</v>
      </c>
      <c r="H458" s="4" t="s">
        <v>121</v>
      </c>
      <c r="I458" s="9">
        <v>3859</v>
      </c>
      <c r="J458" s="9" t="s">
        <v>126</v>
      </c>
      <c r="K458" s="8">
        <v>45508</v>
      </c>
      <c r="L458" s="21">
        <v>3859</v>
      </c>
      <c r="M458" s="8"/>
      <c r="N458" s="21"/>
      <c r="O458" s="8"/>
      <c r="P458" s="21"/>
      <c r="Q458" s="8"/>
      <c r="R458" s="28"/>
    </row>
    <row r="459" spans="1:18">
      <c r="A459" s="1" t="s">
        <v>595</v>
      </c>
      <c r="B459" s="6" t="s">
        <v>24</v>
      </c>
      <c r="C459" s="7">
        <v>45410</v>
      </c>
      <c r="D459" s="25">
        <f t="shared" si="14"/>
        <v>4</v>
      </c>
      <c r="E459" s="25">
        <f t="shared" si="15"/>
        <v>2024</v>
      </c>
      <c r="F459" s="7" t="s">
        <v>73</v>
      </c>
      <c r="G459" s="4" t="s">
        <v>112</v>
      </c>
      <c r="H459" s="4" t="s">
        <v>122</v>
      </c>
      <c r="I459" s="9">
        <v>6257</v>
      </c>
      <c r="J459" s="9" t="s">
        <v>126</v>
      </c>
      <c r="K459" s="8">
        <v>45411</v>
      </c>
      <c r="L459" s="21">
        <v>6257</v>
      </c>
      <c r="M459" s="8"/>
      <c r="N459" s="21"/>
      <c r="O459" s="8"/>
      <c r="P459" s="21"/>
      <c r="Q459" s="8"/>
      <c r="R459" s="28"/>
    </row>
    <row r="460" spans="1:18">
      <c r="A460" s="1" t="s">
        <v>596</v>
      </c>
      <c r="B460" s="6" t="s">
        <v>48</v>
      </c>
      <c r="C460" s="7">
        <v>45117</v>
      </c>
      <c r="D460" s="25">
        <f t="shared" si="14"/>
        <v>7</v>
      </c>
      <c r="E460" s="25">
        <f t="shared" si="15"/>
        <v>2023</v>
      </c>
      <c r="F460" s="7" t="s">
        <v>97</v>
      </c>
      <c r="G460" s="4" t="s">
        <v>112</v>
      </c>
      <c r="H460" s="4" t="s">
        <v>123</v>
      </c>
      <c r="I460" s="9">
        <v>4081</v>
      </c>
      <c r="J460" s="9" t="s">
        <v>126</v>
      </c>
      <c r="K460" s="8">
        <v>45118</v>
      </c>
      <c r="L460" s="21">
        <v>4081</v>
      </c>
      <c r="M460" s="8"/>
      <c r="N460" s="21"/>
      <c r="O460" s="8"/>
      <c r="P460" s="21"/>
      <c r="Q460" s="8"/>
      <c r="R460" s="28"/>
    </row>
    <row r="461" spans="1:18">
      <c r="A461" s="1" t="s">
        <v>597</v>
      </c>
      <c r="B461" s="6" t="s">
        <v>34</v>
      </c>
      <c r="C461" s="7">
        <v>45346</v>
      </c>
      <c r="D461" s="25">
        <f t="shared" si="14"/>
        <v>2</v>
      </c>
      <c r="E461" s="25">
        <f t="shared" si="15"/>
        <v>2024</v>
      </c>
      <c r="F461" s="7" t="s">
        <v>83</v>
      </c>
      <c r="G461" s="4" t="s">
        <v>110</v>
      </c>
      <c r="H461" s="4" t="s">
        <v>113</v>
      </c>
      <c r="I461" s="9">
        <v>-8508</v>
      </c>
      <c r="J461" s="9" t="s">
        <v>138</v>
      </c>
      <c r="K461" s="8">
        <v>45347</v>
      </c>
      <c r="L461" s="21">
        <v>-4254</v>
      </c>
      <c r="M461" s="8">
        <v>45376</v>
      </c>
      <c r="N461" s="21">
        <v>-4254</v>
      </c>
      <c r="O461" s="8"/>
      <c r="P461" s="21"/>
      <c r="Q461" s="8"/>
      <c r="R461" s="28"/>
    </row>
    <row r="462" spans="1:18">
      <c r="A462" s="1" t="s">
        <v>598</v>
      </c>
      <c r="B462" s="6" t="s">
        <v>21</v>
      </c>
      <c r="C462" s="7">
        <v>45311</v>
      </c>
      <c r="D462" s="25">
        <f t="shared" si="14"/>
        <v>1</v>
      </c>
      <c r="E462" s="25">
        <f t="shared" si="15"/>
        <v>2024</v>
      </c>
      <c r="F462" s="7" t="s">
        <v>70</v>
      </c>
      <c r="G462" s="4" t="s">
        <v>110</v>
      </c>
      <c r="H462" s="4" t="s">
        <v>124</v>
      </c>
      <c r="I462" s="9">
        <v>-8975</v>
      </c>
      <c r="J462" s="9" t="s">
        <v>138</v>
      </c>
      <c r="K462" s="8">
        <v>45312</v>
      </c>
      <c r="L462" s="21">
        <v>-4487.5</v>
      </c>
      <c r="M462" s="8">
        <v>45341</v>
      </c>
      <c r="N462" s="21">
        <v>-4487.5</v>
      </c>
      <c r="O462" s="8"/>
      <c r="P462" s="21"/>
      <c r="Q462" s="8"/>
      <c r="R462" s="28"/>
    </row>
    <row r="463" spans="1:18">
      <c r="A463" s="1" t="s">
        <v>599</v>
      </c>
      <c r="B463" s="6" t="s">
        <v>35</v>
      </c>
      <c r="C463" s="7">
        <v>45378</v>
      </c>
      <c r="D463" s="25">
        <f t="shared" si="14"/>
        <v>3</v>
      </c>
      <c r="E463" s="25">
        <f t="shared" si="15"/>
        <v>2024</v>
      </c>
      <c r="F463" s="7" t="s">
        <v>84</v>
      </c>
      <c r="G463" s="4" t="s">
        <v>112</v>
      </c>
      <c r="H463" s="4" t="s">
        <v>122</v>
      </c>
      <c r="I463" s="9">
        <v>5195</v>
      </c>
      <c r="J463" s="9" t="s">
        <v>126</v>
      </c>
      <c r="K463" s="8">
        <v>45379</v>
      </c>
      <c r="L463" s="21">
        <v>5195</v>
      </c>
      <c r="M463" s="8"/>
      <c r="N463" s="21"/>
      <c r="O463" s="8"/>
      <c r="P463" s="21"/>
      <c r="Q463" s="8"/>
      <c r="R463" s="28"/>
    </row>
    <row r="464" spans="1:18">
      <c r="A464" s="1" t="s">
        <v>600</v>
      </c>
      <c r="B464" s="6" t="s">
        <v>46</v>
      </c>
      <c r="C464" s="7">
        <v>45332</v>
      </c>
      <c r="D464" s="25">
        <f t="shared" si="14"/>
        <v>2</v>
      </c>
      <c r="E464" s="25">
        <f t="shared" si="15"/>
        <v>2024</v>
      </c>
      <c r="F464" s="7" t="s">
        <v>95</v>
      </c>
      <c r="G464" s="4" t="s">
        <v>112</v>
      </c>
      <c r="H464" s="4" t="s">
        <v>122</v>
      </c>
      <c r="I464" s="9">
        <v>5649</v>
      </c>
      <c r="J464" s="9" t="s">
        <v>126</v>
      </c>
      <c r="K464" s="8">
        <v>45333</v>
      </c>
      <c r="L464" s="21">
        <v>5649</v>
      </c>
      <c r="M464" s="8"/>
      <c r="N464" s="21"/>
      <c r="O464" s="8"/>
      <c r="P464" s="21"/>
      <c r="Q464" s="8"/>
      <c r="R464" s="28"/>
    </row>
    <row r="465" spans="1:18">
      <c r="A465" s="1" t="s">
        <v>601</v>
      </c>
      <c r="B465" s="6" t="s">
        <v>47</v>
      </c>
      <c r="C465" s="7">
        <v>45543</v>
      </c>
      <c r="D465" s="25">
        <f t="shared" si="14"/>
        <v>9</v>
      </c>
      <c r="E465" s="25">
        <f t="shared" si="15"/>
        <v>2024</v>
      </c>
      <c r="F465" s="7" t="s">
        <v>96</v>
      </c>
      <c r="G465" s="4" t="s">
        <v>111</v>
      </c>
      <c r="H465" s="4" t="s">
        <v>120</v>
      </c>
      <c r="I465" s="9">
        <v>527</v>
      </c>
      <c r="J465" s="9" t="s">
        <v>137</v>
      </c>
      <c r="K465" s="8">
        <v>45544</v>
      </c>
      <c r="L465" s="21">
        <v>175.66666666666666</v>
      </c>
      <c r="M465" s="8">
        <v>45573</v>
      </c>
      <c r="N465" s="21">
        <v>175.66666666666666</v>
      </c>
      <c r="O465" s="8">
        <v>45588</v>
      </c>
      <c r="P465" s="21">
        <v>175.66666666666666</v>
      </c>
      <c r="Q465" s="8"/>
      <c r="R465" s="28"/>
    </row>
    <row r="466" spans="1:18">
      <c r="A466" s="1" t="s">
        <v>602</v>
      </c>
      <c r="B466" s="6" t="s">
        <v>42</v>
      </c>
      <c r="C466" s="7">
        <v>45404</v>
      </c>
      <c r="D466" s="25">
        <f t="shared" si="14"/>
        <v>4</v>
      </c>
      <c r="E466" s="25">
        <f t="shared" si="15"/>
        <v>2024</v>
      </c>
      <c r="F466" s="7" t="s">
        <v>91</v>
      </c>
      <c r="G466" s="4" t="s">
        <v>111</v>
      </c>
      <c r="H466" s="4" t="s">
        <v>117</v>
      </c>
      <c r="I466" s="9">
        <v>7277</v>
      </c>
      <c r="J466" s="9" t="s">
        <v>126</v>
      </c>
      <c r="K466" s="8">
        <v>45405</v>
      </c>
      <c r="L466" s="21">
        <v>7277</v>
      </c>
      <c r="M466" s="8"/>
      <c r="N466" s="21"/>
      <c r="O466" s="8"/>
      <c r="P466" s="21"/>
      <c r="Q466" s="8"/>
      <c r="R466" s="28"/>
    </row>
    <row r="467" spans="1:18">
      <c r="A467" s="1" t="s">
        <v>603</v>
      </c>
      <c r="B467" s="6" t="s">
        <v>24</v>
      </c>
      <c r="C467" s="7">
        <v>45271</v>
      </c>
      <c r="D467" s="25">
        <f t="shared" si="14"/>
        <v>12</v>
      </c>
      <c r="E467" s="25">
        <f t="shared" si="15"/>
        <v>2023</v>
      </c>
      <c r="F467" s="7" t="s">
        <v>73</v>
      </c>
      <c r="G467" s="4" t="s">
        <v>112</v>
      </c>
      <c r="H467" s="4" t="s">
        <v>122</v>
      </c>
      <c r="I467" s="9">
        <v>6242</v>
      </c>
      <c r="J467" s="9" t="s">
        <v>126</v>
      </c>
      <c r="K467" s="8">
        <v>45272</v>
      </c>
      <c r="L467" s="21">
        <v>6242</v>
      </c>
      <c r="M467" s="8"/>
      <c r="N467" s="21"/>
      <c r="O467" s="8"/>
      <c r="P467" s="21"/>
      <c r="Q467" s="8"/>
      <c r="R467" s="28"/>
    </row>
    <row r="468" spans="1:18">
      <c r="A468" s="1" t="s">
        <v>604</v>
      </c>
      <c r="B468" s="6" t="s">
        <v>38</v>
      </c>
      <c r="C468" s="7">
        <v>45270</v>
      </c>
      <c r="D468" s="25">
        <f t="shared" si="14"/>
        <v>12</v>
      </c>
      <c r="E468" s="25">
        <f t="shared" si="15"/>
        <v>2023</v>
      </c>
      <c r="F468" s="7" t="s">
        <v>87</v>
      </c>
      <c r="G468" s="4" t="s">
        <v>110</v>
      </c>
      <c r="H468" s="4" t="s">
        <v>125</v>
      </c>
      <c r="I468" s="9">
        <v>-9670</v>
      </c>
      <c r="J468" s="9" t="s">
        <v>138</v>
      </c>
      <c r="K468" s="8">
        <v>45271</v>
      </c>
      <c r="L468" s="21">
        <v>-4835</v>
      </c>
      <c r="M468" s="8">
        <v>45300</v>
      </c>
      <c r="N468" s="21">
        <v>-4835</v>
      </c>
      <c r="O468" s="8"/>
      <c r="P468" s="21"/>
      <c r="Q468" s="8"/>
      <c r="R468" s="28"/>
    </row>
    <row r="469" spans="1:18">
      <c r="A469" s="1" t="s">
        <v>605</v>
      </c>
      <c r="B469" s="6" t="s">
        <v>52</v>
      </c>
      <c r="C469" s="7">
        <v>45200</v>
      </c>
      <c r="D469" s="25">
        <f t="shared" si="14"/>
        <v>10</v>
      </c>
      <c r="E469" s="25">
        <f t="shared" si="15"/>
        <v>2023</v>
      </c>
      <c r="F469" s="7" t="s">
        <v>101</v>
      </c>
      <c r="G469" s="4" t="s">
        <v>111</v>
      </c>
      <c r="H469" s="4" t="s">
        <v>118</v>
      </c>
      <c r="I469" s="9">
        <v>2636</v>
      </c>
      <c r="J469" s="9" t="s">
        <v>126</v>
      </c>
      <c r="K469" s="8">
        <v>45201</v>
      </c>
      <c r="L469" s="21">
        <v>2636</v>
      </c>
      <c r="M469" s="8"/>
      <c r="N469" s="21"/>
      <c r="O469" s="8"/>
      <c r="P469" s="21"/>
      <c r="Q469" s="8"/>
      <c r="R469" s="28"/>
    </row>
    <row r="470" spans="1:18">
      <c r="A470" s="1" t="s">
        <v>606</v>
      </c>
      <c r="B470" s="6" t="s">
        <v>28</v>
      </c>
      <c r="C470" s="7">
        <v>45325</v>
      </c>
      <c r="D470" s="25">
        <f t="shared" si="14"/>
        <v>2</v>
      </c>
      <c r="E470" s="25">
        <f t="shared" si="15"/>
        <v>2024</v>
      </c>
      <c r="F470" s="7" t="s">
        <v>77</v>
      </c>
      <c r="G470" s="4" t="s">
        <v>110</v>
      </c>
      <c r="H470" s="4" t="s">
        <v>114</v>
      </c>
      <c r="I470" s="9">
        <v>-1670</v>
      </c>
      <c r="J470" s="9" t="s">
        <v>136</v>
      </c>
      <c r="K470" s="8">
        <v>45326</v>
      </c>
      <c r="L470" s="21">
        <v>-417.5</v>
      </c>
      <c r="M470" s="8">
        <v>45355</v>
      </c>
      <c r="N470" s="21">
        <v>-417.5</v>
      </c>
      <c r="O470" s="8">
        <v>45370</v>
      </c>
      <c r="P470" s="21">
        <v>-417.5</v>
      </c>
      <c r="Q470" s="8">
        <v>45385</v>
      </c>
      <c r="R470" s="28">
        <v>-417.5</v>
      </c>
    </row>
    <row r="471" spans="1:18">
      <c r="A471" s="1" t="s">
        <v>607</v>
      </c>
      <c r="B471" s="6" t="s">
        <v>55</v>
      </c>
      <c r="C471" s="7">
        <v>45187</v>
      </c>
      <c r="D471" s="25">
        <f t="shared" si="14"/>
        <v>9</v>
      </c>
      <c r="E471" s="25">
        <f t="shared" si="15"/>
        <v>2023</v>
      </c>
      <c r="F471" s="7" t="s">
        <v>104</v>
      </c>
      <c r="G471" s="4" t="s">
        <v>111</v>
      </c>
      <c r="H471" s="4" t="s">
        <v>119</v>
      </c>
      <c r="I471" s="9">
        <v>1754</v>
      </c>
      <c r="J471" s="9" t="s">
        <v>138</v>
      </c>
      <c r="K471" s="8">
        <v>45188</v>
      </c>
      <c r="L471" s="21">
        <v>877</v>
      </c>
      <c r="M471" s="8">
        <v>45217</v>
      </c>
      <c r="N471" s="21">
        <v>877</v>
      </c>
      <c r="O471" s="8"/>
      <c r="P471" s="21"/>
      <c r="Q471" s="8"/>
      <c r="R471" s="28"/>
    </row>
    <row r="472" spans="1:18">
      <c r="A472" s="1" t="s">
        <v>608</v>
      </c>
      <c r="B472" s="6" t="s">
        <v>13</v>
      </c>
      <c r="C472" s="7">
        <v>45289</v>
      </c>
      <c r="D472" s="25">
        <f t="shared" si="14"/>
        <v>12</v>
      </c>
      <c r="E472" s="25">
        <f t="shared" si="15"/>
        <v>2023</v>
      </c>
      <c r="F472" s="7" t="s">
        <v>63</v>
      </c>
      <c r="G472" s="4" t="s">
        <v>111</v>
      </c>
      <c r="H472" s="4" t="s">
        <v>120</v>
      </c>
      <c r="I472" s="9">
        <v>1967</v>
      </c>
      <c r="J472" s="9" t="s">
        <v>126</v>
      </c>
      <c r="K472" s="8">
        <v>45290</v>
      </c>
      <c r="L472" s="21">
        <v>1967</v>
      </c>
      <c r="M472" s="8"/>
      <c r="N472" s="21"/>
      <c r="O472" s="8"/>
      <c r="P472" s="21"/>
      <c r="Q472" s="8"/>
      <c r="R472" s="28"/>
    </row>
    <row r="473" spans="1:18">
      <c r="A473" s="1" t="s">
        <v>609</v>
      </c>
      <c r="B473" s="6" t="s">
        <v>25</v>
      </c>
      <c r="C473" s="7">
        <v>45343</v>
      </c>
      <c r="D473" s="25">
        <f t="shared" si="14"/>
        <v>2</v>
      </c>
      <c r="E473" s="25">
        <f t="shared" si="15"/>
        <v>2024</v>
      </c>
      <c r="F473" s="7" t="s">
        <v>74</v>
      </c>
      <c r="G473" s="4" t="s">
        <v>111</v>
      </c>
      <c r="H473" s="4" t="s">
        <v>120</v>
      </c>
      <c r="I473" s="9">
        <v>2838</v>
      </c>
      <c r="J473" s="9" t="s">
        <v>126</v>
      </c>
      <c r="K473" s="8">
        <v>45344</v>
      </c>
      <c r="L473" s="21">
        <v>2838</v>
      </c>
      <c r="M473" s="8"/>
      <c r="N473" s="21"/>
      <c r="O473" s="8"/>
      <c r="P473" s="21"/>
      <c r="Q473" s="8"/>
      <c r="R473" s="28"/>
    </row>
    <row r="474" spans="1:18">
      <c r="A474" s="1" t="s">
        <v>610</v>
      </c>
      <c r="B474" s="6" t="s">
        <v>60</v>
      </c>
      <c r="C474" s="7">
        <v>45387</v>
      </c>
      <c r="D474" s="25">
        <f t="shared" si="14"/>
        <v>4</v>
      </c>
      <c r="E474" s="25">
        <f t="shared" si="15"/>
        <v>2024</v>
      </c>
      <c r="F474" s="7" t="s">
        <v>109</v>
      </c>
      <c r="G474" s="4" t="s">
        <v>111</v>
      </c>
      <c r="H474" s="4" t="s">
        <v>118</v>
      </c>
      <c r="I474" s="9">
        <v>6251</v>
      </c>
      <c r="J474" s="9" t="s">
        <v>126</v>
      </c>
      <c r="K474" s="8">
        <v>45388</v>
      </c>
      <c r="L474" s="21">
        <v>6251</v>
      </c>
      <c r="M474" s="8"/>
      <c r="N474" s="21"/>
      <c r="O474" s="8"/>
      <c r="P474" s="21"/>
      <c r="Q474" s="8"/>
      <c r="R474" s="28"/>
    </row>
    <row r="475" spans="1:18">
      <c r="A475" s="1" t="s">
        <v>611</v>
      </c>
      <c r="B475" s="6" t="s">
        <v>33</v>
      </c>
      <c r="C475" s="7">
        <v>45301</v>
      </c>
      <c r="D475" s="25">
        <f t="shared" si="14"/>
        <v>1</v>
      </c>
      <c r="E475" s="25">
        <f t="shared" si="15"/>
        <v>2024</v>
      </c>
      <c r="F475" s="7" t="s">
        <v>82</v>
      </c>
      <c r="G475" s="4" t="s">
        <v>111</v>
      </c>
      <c r="H475" s="4" t="s">
        <v>119</v>
      </c>
      <c r="I475" s="9">
        <v>8439</v>
      </c>
      <c r="J475" s="9" t="s">
        <v>137</v>
      </c>
      <c r="K475" s="8">
        <v>45302</v>
      </c>
      <c r="L475" s="21">
        <v>2813</v>
      </c>
      <c r="M475" s="8">
        <v>45331</v>
      </c>
      <c r="N475" s="21">
        <v>2813</v>
      </c>
      <c r="O475" s="8">
        <v>45346</v>
      </c>
      <c r="P475" s="21">
        <v>2813</v>
      </c>
      <c r="Q475" s="8"/>
      <c r="R475" s="28"/>
    </row>
    <row r="476" spans="1:18">
      <c r="A476" s="1" t="s">
        <v>612</v>
      </c>
      <c r="B476" s="6" t="s">
        <v>38</v>
      </c>
      <c r="C476" s="7">
        <v>45473</v>
      </c>
      <c r="D476" s="25">
        <f t="shared" si="14"/>
        <v>6</v>
      </c>
      <c r="E476" s="25">
        <f t="shared" si="15"/>
        <v>2024</v>
      </c>
      <c r="F476" s="7" t="s">
        <v>87</v>
      </c>
      <c r="G476" s="4" t="s">
        <v>110</v>
      </c>
      <c r="H476" s="4" t="s">
        <v>125</v>
      </c>
      <c r="I476" s="9">
        <v>-8706</v>
      </c>
      <c r="J476" s="9" t="s">
        <v>138</v>
      </c>
      <c r="K476" s="8">
        <v>45474</v>
      </c>
      <c r="L476" s="21">
        <v>-4353</v>
      </c>
      <c r="M476" s="8">
        <v>45503</v>
      </c>
      <c r="N476" s="21">
        <v>-4353</v>
      </c>
      <c r="O476" s="8"/>
      <c r="P476" s="21"/>
      <c r="Q476" s="8"/>
      <c r="R476" s="28"/>
    </row>
    <row r="477" spans="1:18">
      <c r="A477" s="1" t="s">
        <v>613</v>
      </c>
      <c r="B477" s="6" t="s">
        <v>34</v>
      </c>
      <c r="C477" s="7">
        <v>45180</v>
      </c>
      <c r="D477" s="25">
        <f t="shared" si="14"/>
        <v>9</v>
      </c>
      <c r="E477" s="25">
        <f t="shared" si="15"/>
        <v>2023</v>
      </c>
      <c r="F477" s="7" t="s">
        <v>83</v>
      </c>
      <c r="G477" s="4" t="s">
        <v>110</v>
      </c>
      <c r="H477" s="4" t="s">
        <v>113</v>
      </c>
      <c r="I477" s="9">
        <v>-9705</v>
      </c>
      <c r="J477" s="9" t="s">
        <v>126</v>
      </c>
      <c r="K477" s="8">
        <v>45181</v>
      </c>
      <c r="L477" s="21">
        <v>-9705</v>
      </c>
      <c r="M477" s="8"/>
      <c r="N477" s="21"/>
      <c r="O477" s="8"/>
      <c r="P477" s="21"/>
      <c r="Q477" s="8"/>
      <c r="R477" s="28"/>
    </row>
    <row r="478" spans="1:18">
      <c r="A478" s="1" t="s">
        <v>614</v>
      </c>
      <c r="B478" s="6" t="s">
        <v>55</v>
      </c>
      <c r="C478" s="7">
        <v>45272</v>
      </c>
      <c r="D478" s="25">
        <f t="shared" si="14"/>
        <v>12</v>
      </c>
      <c r="E478" s="25">
        <f t="shared" si="15"/>
        <v>2023</v>
      </c>
      <c r="F478" s="7" t="s">
        <v>104</v>
      </c>
      <c r="G478" s="4" t="s">
        <v>111</v>
      </c>
      <c r="H478" s="4" t="s">
        <v>119</v>
      </c>
      <c r="I478" s="9">
        <v>2802</v>
      </c>
      <c r="J478" s="9" t="s">
        <v>137</v>
      </c>
      <c r="K478" s="8">
        <v>45273</v>
      </c>
      <c r="L478" s="21">
        <v>934</v>
      </c>
      <c r="M478" s="8">
        <v>45302</v>
      </c>
      <c r="N478" s="21">
        <v>934</v>
      </c>
      <c r="O478" s="8">
        <v>45317</v>
      </c>
      <c r="P478" s="21">
        <v>934</v>
      </c>
      <c r="Q478" s="8"/>
      <c r="R478" s="28"/>
    </row>
    <row r="479" spans="1:18">
      <c r="A479" s="1" t="s">
        <v>615</v>
      </c>
      <c r="B479" s="6" t="s">
        <v>27</v>
      </c>
      <c r="C479" s="7">
        <v>45455</v>
      </c>
      <c r="D479" s="25">
        <f t="shared" si="14"/>
        <v>6</v>
      </c>
      <c r="E479" s="25">
        <f t="shared" si="15"/>
        <v>2024</v>
      </c>
      <c r="F479" s="7" t="s">
        <v>76</v>
      </c>
      <c r="G479" s="4" t="s">
        <v>110</v>
      </c>
      <c r="H479" s="4" t="s">
        <v>125</v>
      </c>
      <c r="I479" s="9">
        <v>-4886</v>
      </c>
      <c r="J479" s="9" t="s">
        <v>126</v>
      </c>
      <c r="K479" s="8">
        <v>45456</v>
      </c>
      <c r="L479" s="21">
        <v>-4886</v>
      </c>
      <c r="M479" s="8"/>
      <c r="N479" s="21"/>
      <c r="O479" s="8"/>
      <c r="P479" s="21"/>
      <c r="Q479" s="8"/>
      <c r="R479" s="28"/>
    </row>
    <row r="480" spans="1:18">
      <c r="A480" s="1" t="s">
        <v>616</v>
      </c>
      <c r="B480" s="6" t="s">
        <v>43</v>
      </c>
      <c r="C480" s="7">
        <v>45499</v>
      </c>
      <c r="D480" s="25">
        <f t="shared" si="14"/>
        <v>7</v>
      </c>
      <c r="E480" s="25">
        <f t="shared" si="15"/>
        <v>2024</v>
      </c>
      <c r="F480" s="7" t="s">
        <v>92</v>
      </c>
      <c r="G480" s="4" t="s">
        <v>110</v>
      </c>
      <c r="H480" s="4" t="s">
        <v>124</v>
      </c>
      <c r="I480" s="9">
        <v>-5905</v>
      </c>
      <c r="J480" s="9" t="s">
        <v>126</v>
      </c>
      <c r="K480" s="8">
        <v>45500</v>
      </c>
      <c r="L480" s="21">
        <v>-5905</v>
      </c>
      <c r="M480" s="8"/>
      <c r="N480" s="21"/>
      <c r="O480" s="8"/>
      <c r="P480" s="21"/>
      <c r="Q480" s="8"/>
      <c r="R480" s="28"/>
    </row>
    <row r="481" spans="1:18">
      <c r="A481" s="1" t="s">
        <v>617</v>
      </c>
      <c r="B481" s="6" t="s">
        <v>30</v>
      </c>
      <c r="C481" s="7">
        <v>45184</v>
      </c>
      <c r="D481" s="25">
        <f t="shared" si="14"/>
        <v>9</v>
      </c>
      <c r="E481" s="25">
        <f t="shared" si="15"/>
        <v>2023</v>
      </c>
      <c r="F481" s="7" t="s">
        <v>79</v>
      </c>
      <c r="G481" s="4" t="s">
        <v>111</v>
      </c>
      <c r="H481" s="4" t="s">
        <v>118</v>
      </c>
      <c r="I481" s="9">
        <v>7209</v>
      </c>
      <c r="J481" s="9" t="s">
        <v>136</v>
      </c>
      <c r="K481" s="8">
        <v>45185</v>
      </c>
      <c r="L481" s="21">
        <v>1802.25</v>
      </c>
      <c r="M481" s="8">
        <v>45214</v>
      </c>
      <c r="N481" s="21">
        <v>1802.25</v>
      </c>
      <c r="O481" s="8">
        <v>45229</v>
      </c>
      <c r="P481" s="21">
        <v>1802.25</v>
      </c>
      <c r="Q481" s="8">
        <v>45244</v>
      </c>
      <c r="R481" s="28">
        <v>1802.25</v>
      </c>
    </row>
    <row r="482" spans="1:18">
      <c r="A482" s="1" t="s">
        <v>618</v>
      </c>
      <c r="B482" s="6" t="s">
        <v>45</v>
      </c>
      <c r="C482" s="7">
        <v>45242</v>
      </c>
      <c r="D482" s="25">
        <f t="shared" si="14"/>
        <v>11</v>
      </c>
      <c r="E482" s="25">
        <f t="shared" si="15"/>
        <v>2023</v>
      </c>
      <c r="F482" s="7" t="s">
        <v>94</v>
      </c>
      <c r="G482" s="4" t="s">
        <v>110</v>
      </c>
      <c r="H482" s="4" t="s">
        <v>113</v>
      </c>
      <c r="I482" s="9">
        <v>-9939</v>
      </c>
      <c r="J482" s="9" t="s">
        <v>136</v>
      </c>
      <c r="K482" s="8">
        <v>45243</v>
      </c>
      <c r="L482" s="21">
        <v>-2484.75</v>
      </c>
      <c r="M482" s="8">
        <v>45272</v>
      </c>
      <c r="N482" s="21">
        <v>-2484.75</v>
      </c>
      <c r="O482" s="8">
        <v>45287</v>
      </c>
      <c r="P482" s="21">
        <v>-2484.75</v>
      </c>
      <c r="Q482" s="8">
        <v>45302</v>
      </c>
      <c r="R482" s="28">
        <v>-2484.75</v>
      </c>
    </row>
    <row r="483" spans="1:18">
      <c r="A483" s="1" t="s">
        <v>619</v>
      </c>
      <c r="B483" s="6" t="s">
        <v>53</v>
      </c>
      <c r="C483" s="7">
        <v>45326</v>
      </c>
      <c r="D483" s="25">
        <f t="shared" si="14"/>
        <v>2</v>
      </c>
      <c r="E483" s="25">
        <f t="shared" si="15"/>
        <v>2024</v>
      </c>
      <c r="F483" s="7" t="s">
        <v>102</v>
      </c>
      <c r="G483" s="4" t="s">
        <v>111</v>
      </c>
      <c r="H483" s="4" t="s">
        <v>117</v>
      </c>
      <c r="I483" s="9">
        <v>9183</v>
      </c>
      <c r="J483" s="9" t="s">
        <v>138</v>
      </c>
      <c r="K483" s="8">
        <v>45327</v>
      </c>
      <c r="L483" s="21">
        <v>4591.5</v>
      </c>
      <c r="M483" s="8">
        <v>45356</v>
      </c>
      <c r="N483" s="21">
        <v>4591.5</v>
      </c>
      <c r="O483" s="8"/>
      <c r="P483" s="21"/>
      <c r="Q483" s="8"/>
      <c r="R483" s="28"/>
    </row>
    <row r="484" spans="1:18">
      <c r="A484" s="1" t="s">
        <v>620</v>
      </c>
      <c r="B484" s="6" t="s">
        <v>40</v>
      </c>
      <c r="C484" s="7">
        <v>45193</v>
      </c>
      <c r="D484" s="25">
        <f t="shared" si="14"/>
        <v>9</v>
      </c>
      <c r="E484" s="25">
        <f t="shared" si="15"/>
        <v>2023</v>
      </c>
      <c r="F484" s="7" t="s">
        <v>89</v>
      </c>
      <c r="G484" s="4" t="s">
        <v>111</v>
      </c>
      <c r="H484" s="4" t="s">
        <v>121</v>
      </c>
      <c r="I484" s="9">
        <v>6641</v>
      </c>
      <c r="J484" s="9" t="s">
        <v>136</v>
      </c>
      <c r="K484" s="8">
        <v>45194</v>
      </c>
      <c r="L484" s="21">
        <v>1660.25</v>
      </c>
      <c r="M484" s="8">
        <v>45223</v>
      </c>
      <c r="N484" s="21">
        <v>1660.25</v>
      </c>
      <c r="O484" s="8">
        <v>45238</v>
      </c>
      <c r="P484" s="21">
        <v>1660.25</v>
      </c>
      <c r="Q484" s="8">
        <v>45253</v>
      </c>
      <c r="R484" s="28">
        <v>1660.25</v>
      </c>
    </row>
    <row r="485" spans="1:18">
      <c r="A485" s="1" t="s">
        <v>621</v>
      </c>
      <c r="B485" s="6" t="s">
        <v>16</v>
      </c>
      <c r="C485" s="7">
        <v>45210</v>
      </c>
      <c r="D485" s="25">
        <f t="shared" si="14"/>
        <v>10</v>
      </c>
      <c r="E485" s="25">
        <f t="shared" si="15"/>
        <v>2023</v>
      </c>
      <c r="F485" s="7" t="s">
        <v>65</v>
      </c>
      <c r="G485" s="4" t="s">
        <v>110</v>
      </c>
      <c r="H485" s="4" t="s">
        <v>125</v>
      </c>
      <c r="I485" s="9">
        <v>-4292</v>
      </c>
      <c r="J485" s="9" t="s">
        <v>126</v>
      </c>
      <c r="K485" s="8">
        <v>45211</v>
      </c>
      <c r="L485" s="21">
        <v>-4292</v>
      </c>
      <c r="M485" s="8"/>
      <c r="N485" s="21"/>
      <c r="O485" s="8"/>
      <c r="P485" s="21"/>
      <c r="Q485" s="8"/>
      <c r="R485" s="28"/>
    </row>
    <row r="486" spans="1:18">
      <c r="A486" s="1" t="s">
        <v>622</v>
      </c>
      <c r="B486" s="6" t="s">
        <v>59</v>
      </c>
      <c r="C486" s="7">
        <v>45167</v>
      </c>
      <c r="D486" s="25">
        <f t="shared" si="14"/>
        <v>8</v>
      </c>
      <c r="E486" s="25">
        <f t="shared" si="15"/>
        <v>2023</v>
      </c>
      <c r="F486" s="7" t="s">
        <v>108</v>
      </c>
      <c r="G486" s="4" t="s">
        <v>111</v>
      </c>
      <c r="H486" s="4" t="s">
        <v>121</v>
      </c>
      <c r="I486" s="9">
        <v>6758</v>
      </c>
      <c r="J486" s="9" t="s">
        <v>126</v>
      </c>
      <c r="K486" s="8">
        <v>45168</v>
      </c>
      <c r="L486" s="21">
        <v>6758</v>
      </c>
      <c r="M486" s="8"/>
      <c r="N486" s="21"/>
      <c r="O486" s="8"/>
      <c r="P486" s="21"/>
      <c r="Q486" s="8"/>
      <c r="R486" s="28"/>
    </row>
    <row r="487" spans="1:18">
      <c r="A487" s="1" t="s">
        <v>623</v>
      </c>
      <c r="B487" s="6" t="s">
        <v>12</v>
      </c>
      <c r="C487" s="7">
        <v>45304</v>
      </c>
      <c r="D487" s="25">
        <f t="shared" si="14"/>
        <v>1</v>
      </c>
      <c r="E487" s="25">
        <f t="shared" si="15"/>
        <v>2024</v>
      </c>
      <c r="F487" s="7" t="s">
        <v>62</v>
      </c>
      <c r="G487" s="4" t="s">
        <v>112</v>
      </c>
      <c r="H487" s="4" t="s">
        <v>122</v>
      </c>
      <c r="I487" s="9">
        <v>490</v>
      </c>
      <c r="J487" s="9" t="s">
        <v>126</v>
      </c>
      <c r="K487" s="8">
        <v>45305</v>
      </c>
      <c r="L487" s="21">
        <v>490</v>
      </c>
      <c r="M487" s="8"/>
      <c r="N487" s="21"/>
      <c r="O487" s="8"/>
      <c r="P487" s="21"/>
      <c r="Q487" s="8"/>
      <c r="R487" s="28"/>
    </row>
    <row r="488" spans="1:18">
      <c r="A488" s="1" t="s">
        <v>624</v>
      </c>
      <c r="B488" s="6" t="s">
        <v>51</v>
      </c>
      <c r="C488" s="7">
        <v>45397</v>
      </c>
      <c r="D488" s="25">
        <f t="shared" si="14"/>
        <v>4</v>
      </c>
      <c r="E488" s="25">
        <f t="shared" si="15"/>
        <v>2024</v>
      </c>
      <c r="F488" s="7" t="s">
        <v>100</v>
      </c>
      <c r="G488" s="4" t="s">
        <v>111</v>
      </c>
      <c r="H488" s="4" t="s">
        <v>121</v>
      </c>
      <c r="I488" s="9">
        <v>4256</v>
      </c>
      <c r="J488" s="9" t="s">
        <v>126</v>
      </c>
      <c r="K488" s="8">
        <v>45398</v>
      </c>
      <c r="L488" s="21">
        <v>4256</v>
      </c>
      <c r="M488" s="8"/>
      <c r="N488" s="21"/>
      <c r="O488" s="8"/>
      <c r="P488" s="21"/>
      <c r="Q488" s="8"/>
      <c r="R488" s="28"/>
    </row>
    <row r="489" spans="1:18">
      <c r="A489" s="1" t="s">
        <v>625</v>
      </c>
      <c r="B489" s="6" t="s">
        <v>39</v>
      </c>
      <c r="C489" s="7">
        <v>45192</v>
      </c>
      <c r="D489" s="25">
        <f t="shared" si="14"/>
        <v>9</v>
      </c>
      <c r="E489" s="25">
        <f t="shared" si="15"/>
        <v>2023</v>
      </c>
      <c r="F489" s="7" t="s">
        <v>88</v>
      </c>
      <c r="G489" s="4" t="s">
        <v>110</v>
      </c>
      <c r="H489" s="4" t="s">
        <v>114</v>
      </c>
      <c r="I489" s="9">
        <v>-3784</v>
      </c>
      <c r="J489" s="9" t="s">
        <v>136</v>
      </c>
      <c r="K489" s="8">
        <v>45193</v>
      </c>
      <c r="L489" s="21">
        <v>-946</v>
      </c>
      <c r="M489" s="8">
        <v>45222</v>
      </c>
      <c r="N489" s="21">
        <v>-946</v>
      </c>
      <c r="O489" s="8">
        <v>45237</v>
      </c>
      <c r="P489" s="21">
        <v>-946</v>
      </c>
      <c r="Q489" s="8">
        <v>45252</v>
      </c>
      <c r="R489" s="28">
        <v>-946</v>
      </c>
    </row>
    <row r="490" spans="1:18">
      <c r="A490" s="1" t="s">
        <v>626</v>
      </c>
      <c r="B490" s="6" t="s">
        <v>47</v>
      </c>
      <c r="C490" s="7">
        <v>45259</v>
      </c>
      <c r="D490" s="25">
        <f t="shared" si="14"/>
        <v>11</v>
      </c>
      <c r="E490" s="25">
        <f t="shared" si="15"/>
        <v>2023</v>
      </c>
      <c r="F490" s="7" t="s">
        <v>96</v>
      </c>
      <c r="G490" s="4" t="s">
        <v>111</v>
      </c>
      <c r="H490" s="4" t="s">
        <v>120</v>
      </c>
      <c r="I490" s="9">
        <v>7456</v>
      </c>
      <c r="J490" s="9" t="s">
        <v>136</v>
      </c>
      <c r="K490" s="8">
        <v>45260</v>
      </c>
      <c r="L490" s="21">
        <v>1864</v>
      </c>
      <c r="M490" s="8">
        <v>45289</v>
      </c>
      <c r="N490" s="21">
        <v>1864</v>
      </c>
      <c r="O490" s="8">
        <v>45304</v>
      </c>
      <c r="P490" s="21">
        <v>1864</v>
      </c>
      <c r="Q490" s="8">
        <v>45319</v>
      </c>
      <c r="R490" s="28">
        <v>1864</v>
      </c>
    </row>
    <row r="491" spans="1:18">
      <c r="A491" s="1" t="s">
        <v>627</v>
      </c>
      <c r="B491" s="6" t="s">
        <v>53</v>
      </c>
      <c r="C491" s="7">
        <v>45283</v>
      </c>
      <c r="D491" s="25">
        <f t="shared" si="14"/>
        <v>12</v>
      </c>
      <c r="E491" s="25">
        <f t="shared" si="15"/>
        <v>2023</v>
      </c>
      <c r="F491" s="7" t="s">
        <v>102</v>
      </c>
      <c r="G491" s="4" t="s">
        <v>111</v>
      </c>
      <c r="H491" s="4" t="s">
        <v>117</v>
      </c>
      <c r="I491" s="9">
        <v>1344</v>
      </c>
      <c r="J491" s="9" t="s">
        <v>136</v>
      </c>
      <c r="K491" s="8">
        <v>45284</v>
      </c>
      <c r="L491" s="21">
        <v>336</v>
      </c>
      <c r="M491" s="8">
        <v>45313</v>
      </c>
      <c r="N491" s="21">
        <v>336</v>
      </c>
      <c r="O491" s="8">
        <v>45328</v>
      </c>
      <c r="P491" s="21">
        <v>336</v>
      </c>
      <c r="Q491" s="8">
        <v>45343</v>
      </c>
      <c r="R491" s="28">
        <v>336</v>
      </c>
    </row>
    <row r="492" spans="1:18">
      <c r="A492" s="1" t="s">
        <v>628</v>
      </c>
      <c r="B492" s="6" t="s">
        <v>32</v>
      </c>
      <c r="C492" s="7">
        <v>45266</v>
      </c>
      <c r="D492" s="25">
        <f t="shared" si="14"/>
        <v>12</v>
      </c>
      <c r="E492" s="25">
        <f t="shared" si="15"/>
        <v>2023</v>
      </c>
      <c r="F492" s="7" t="s">
        <v>81</v>
      </c>
      <c r="G492" s="4" t="s">
        <v>110</v>
      </c>
      <c r="H492" s="4" t="s">
        <v>124</v>
      </c>
      <c r="I492" s="9">
        <v>-8367</v>
      </c>
      <c r="J492" s="9" t="s">
        <v>126</v>
      </c>
      <c r="K492" s="8">
        <v>45267</v>
      </c>
      <c r="L492" s="21">
        <v>-8367</v>
      </c>
      <c r="M492" s="8"/>
      <c r="N492" s="21"/>
      <c r="O492" s="8"/>
      <c r="P492" s="21"/>
      <c r="Q492" s="8"/>
      <c r="R492" s="28"/>
    </row>
    <row r="493" spans="1:18">
      <c r="A493" s="1" t="s">
        <v>629</v>
      </c>
      <c r="B493" s="6" t="s">
        <v>12</v>
      </c>
      <c r="C493" s="7">
        <v>45333</v>
      </c>
      <c r="D493" s="25">
        <f t="shared" si="14"/>
        <v>2</v>
      </c>
      <c r="E493" s="39">
        <f t="shared" si="15"/>
        <v>2024</v>
      </c>
      <c r="F493" s="7" t="s">
        <v>62</v>
      </c>
      <c r="G493" s="4" t="s">
        <v>112</v>
      </c>
      <c r="H493" s="4" t="s">
        <v>122</v>
      </c>
      <c r="I493" s="9">
        <v>9077</v>
      </c>
      <c r="J493" s="9" t="s">
        <v>126</v>
      </c>
      <c r="K493" s="8">
        <v>45334</v>
      </c>
      <c r="L493" s="21">
        <v>9077</v>
      </c>
      <c r="M493" s="8"/>
      <c r="N493" s="21"/>
      <c r="O493" s="8"/>
      <c r="P493" s="21"/>
      <c r="Q493" s="8"/>
      <c r="R493" s="28"/>
    </row>
    <row r="494" spans="1:18">
      <c r="A494" s="1" t="s">
        <v>630</v>
      </c>
      <c r="B494" s="6" t="s">
        <v>14</v>
      </c>
      <c r="C494" s="7">
        <v>45182</v>
      </c>
      <c r="D494" s="25">
        <f t="shared" si="14"/>
        <v>9</v>
      </c>
      <c r="E494" s="25">
        <f t="shared" si="15"/>
        <v>2023</v>
      </c>
      <c r="F494" s="7" t="s">
        <v>61</v>
      </c>
      <c r="G494" s="4" t="s">
        <v>110</v>
      </c>
      <c r="H494" s="4" t="s">
        <v>113</v>
      </c>
      <c r="I494" s="9">
        <v>-6656</v>
      </c>
      <c r="J494" s="9" t="s">
        <v>137</v>
      </c>
      <c r="K494" s="8">
        <v>45183</v>
      </c>
      <c r="L494" s="21">
        <v>-2218.6666666666665</v>
      </c>
      <c r="M494" s="8">
        <v>45212</v>
      </c>
      <c r="N494" s="21">
        <v>-2218.6666666666665</v>
      </c>
      <c r="O494" s="8">
        <v>45227</v>
      </c>
      <c r="P494" s="21">
        <v>-2218.6666666666665</v>
      </c>
      <c r="Q494" s="8"/>
      <c r="R494" s="28"/>
    </row>
    <row r="495" spans="1:18">
      <c r="A495" s="1" t="s">
        <v>631</v>
      </c>
      <c r="B495" s="6" t="s">
        <v>17</v>
      </c>
      <c r="C495" s="7">
        <v>45160</v>
      </c>
      <c r="D495" s="25">
        <f t="shared" si="14"/>
        <v>8</v>
      </c>
      <c r="E495" s="25">
        <f t="shared" si="15"/>
        <v>2023</v>
      </c>
      <c r="F495" s="7" t="s">
        <v>66</v>
      </c>
      <c r="G495" s="4" t="s">
        <v>110</v>
      </c>
      <c r="H495" s="4" t="s">
        <v>114</v>
      </c>
      <c r="I495" s="9">
        <v>-9287</v>
      </c>
      <c r="J495" s="9" t="s">
        <v>138</v>
      </c>
      <c r="K495" s="8">
        <v>45161</v>
      </c>
      <c r="L495" s="21">
        <v>-4643.5</v>
      </c>
      <c r="M495" s="8">
        <v>45190</v>
      </c>
      <c r="N495" s="21">
        <v>-4643.5</v>
      </c>
      <c r="O495" s="8"/>
      <c r="P495" s="21"/>
      <c r="Q495" s="8"/>
      <c r="R495" s="28"/>
    </row>
    <row r="496" spans="1:18">
      <c r="A496" s="1" t="s">
        <v>632</v>
      </c>
      <c r="B496" s="6" t="s">
        <v>43</v>
      </c>
      <c r="C496" s="7">
        <v>45244</v>
      </c>
      <c r="D496" s="25">
        <f t="shared" si="14"/>
        <v>11</v>
      </c>
      <c r="E496" s="25">
        <f t="shared" si="15"/>
        <v>2023</v>
      </c>
      <c r="F496" s="7" t="s">
        <v>92</v>
      </c>
      <c r="G496" s="4" t="s">
        <v>110</v>
      </c>
      <c r="H496" s="4" t="s">
        <v>124</v>
      </c>
      <c r="I496" s="9">
        <v>-3141</v>
      </c>
      <c r="J496" s="9" t="s">
        <v>136</v>
      </c>
      <c r="K496" s="8">
        <v>45245</v>
      </c>
      <c r="L496" s="21">
        <v>-785.25</v>
      </c>
      <c r="M496" s="8">
        <v>45274</v>
      </c>
      <c r="N496" s="21">
        <v>-785.25</v>
      </c>
      <c r="O496" s="8">
        <v>45289</v>
      </c>
      <c r="P496" s="21">
        <v>-785.25</v>
      </c>
      <c r="Q496" s="8">
        <v>45304</v>
      </c>
      <c r="R496" s="28">
        <v>-785.25</v>
      </c>
    </row>
    <row r="497" spans="1:18">
      <c r="A497" s="1" t="s">
        <v>633</v>
      </c>
      <c r="B497" s="6" t="s">
        <v>45</v>
      </c>
      <c r="C497" s="7">
        <v>45408</v>
      </c>
      <c r="D497" s="25">
        <f t="shared" si="14"/>
        <v>4</v>
      </c>
      <c r="E497" s="25">
        <f t="shared" si="15"/>
        <v>2024</v>
      </c>
      <c r="F497" s="7" t="s">
        <v>94</v>
      </c>
      <c r="G497" s="4" t="s">
        <v>110</v>
      </c>
      <c r="H497" s="4" t="s">
        <v>113</v>
      </c>
      <c r="I497" s="9">
        <v>-5094</v>
      </c>
      <c r="J497" s="9" t="s">
        <v>137</v>
      </c>
      <c r="K497" s="8">
        <v>45409</v>
      </c>
      <c r="L497" s="21">
        <v>-1698</v>
      </c>
      <c r="M497" s="8">
        <v>45438</v>
      </c>
      <c r="N497" s="21">
        <v>-1698</v>
      </c>
      <c r="O497" s="8">
        <v>45453</v>
      </c>
      <c r="P497" s="21">
        <v>-1698</v>
      </c>
      <c r="Q497" s="8"/>
      <c r="R497" s="28"/>
    </row>
    <row r="498" spans="1:18">
      <c r="A498" s="1" t="s">
        <v>634</v>
      </c>
      <c r="B498" s="6" t="s">
        <v>18</v>
      </c>
      <c r="C498" s="7">
        <v>45242</v>
      </c>
      <c r="D498" s="25">
        <f t="shared" si="14"/>
        <v>11</v>
      </c>
      <c r="E498" s="25">
        <f t="shared" si="15"/>
        <v>2023</v>
      </c>
      <c r="F498" s="7" t="s">
        <v>67</v>
      </c>
      <c r="G498" s="4" t="s">
        <v>111</v>
      </c>
      <c r="H498" s="4" t="s">
        <v>121</v>
      </c>
      <c r="I498" s="9">
        <v>430</v>
      </c>
      <c r="J498" s="9" t="s">
        <v>136</v>
      </c>
      <c r="K498" s="8">
        <v>45243</v>
      </c>
      <c r="L498" s="21">
        <v>107.5</v>
      </c>
      <c r="M498" s="8">
        <v>45272</v>
      </c>
      <c r="N498" s="21">
        <v>107.5</v>
      </c>
      <c r="O498" s="8">
        <v>45287</v>
      </c>
      <c r="P498" s="21">
        <v>107.5</v>
      </c>
      <c r="Q498" s="8">
        <v>45302</v>
      </c>
      <c r="R498" s="28">
        <v>107.5</v>
      </c>
    </row>
    <row r="499" spans="1:18">
      <c r="A499" s="1" t="s">
        <v>635</v>
      </c>
      <c r="B499" s="6" t="s">
        <v>55</v>
      </c>
      <c r="C499" s="7">
        <v>45300</v>
      </c>
      <c r="D499" s="25">
        <f t="shared" si="14"/>
        <v>1</v>
      </c>
      <c r="E499" s="25">
        <f t="shared" si="15"/>
        <v>2024</v>
      </c>
      <c r="F499" s="7" t="s">
        <v>104</v>
      </c>
      <c r="G499" s="4" t="s">
        <v>111</v>
      </c>
      <c r="H499" s="4" t="s">
        <v>119</v>
      </c>
      <c r="I499" s="9">
        <v>595</v>
      </c>
      <c r="J499" s="9" t="s">
        <v>138</v>
      </c>
      <c r="K499" s="8">
        <v>45301</v>
      </c>
      <c r="L499" s="21">
        <v>297.5</v>
      </c>
      <c r="M499" s="8">
        <v>45330</v>
      </c>
      <c r="N499" s="21">
        <v>297.5</v>
      </c>
      <c r="O499" s="8"/>
      <c r="P499" s="21"/>
      <c r="Q499" s="8"/>
      <c r="R499" s="28"/>
    </row>
    <row r="500" spans="1:18">
      <c r="A500" s="1" t="s">
        <v>636</v>
      </c>
      <c r="B500" s="6" t="s">
        <v>40</v>
      </c>
      <c r="C500" s="7">
        <v>45430</v>
      </c>
      <c r="D500" s="25">
        <f t="shared" si="14"/>
        <v>5</v>
      </c>
      <c r="E500" s="25">
        <f t="shared" si="15"/>
        <v>2024</v>
      </c>
      <c r="F500" s="7" t="s">
        <v>89</v>
      </c>
      <c r="G500" s="4" t="s">
        <v>111</v>
      </c>
      <c r="H500" s="4" t="s">
        <v>121</v>
      </c>
      <c r="I500" s="9">
        <v>8491</v>
      </c>
      <c r="J500" s="9" t="s">
        <v>138</v>
      </c>
      <c r="K500" s="8">
        <v>45431</v>
      </c>
      <c r="L500" s="21">
        <v>4245.5</v>
      </c>
      <c r="M500" s="8">
        <v>45460</v>
      </c>
      <c r="N500" s="21">
        <v>4245.5</v>
      </c>
      <c r="O500" s="8"/>
      <c r="P500" s="21"/>
      <c r="Q500" s="8"/>
      <c r="R500" s="28"/>
    </row>
    <row r="501" spans="1:18">
      <c r="A501" s="26" t="s">
        <v>637</v>
      </c>
      <c r="B501" s="5" t="s">
        <v>13</v>
      </c>
      <c r="C501" s="19">
        <v>45166</v>
      </c>
      <c r="D501" s="25">
        <f t="shared" si="14"/>
        <v>8</v>
      </c>
      <c r="E501" s="25">
        <f t="shared" si="15"/>
        <v>2023</v>
      </c>
      <c r="F501" s="19" t="s">
        <v>63</v>
      </c>
      <c r="G501" s="4" t="s">
        <v>111</v>
      </c>
      <c r="H501" s="4" t="s">
        <v>120</v>
      </c>
      <c r="I501" s="9">
        <v>8360</v>
      </c>
      <c r="J501" s="9" t="s">
        <v>126</v>
      </c>
      <c r="K501" s="8">
        <v>45167</v>
      </c>
      <c r="L501" s="21">
        <v>8360</v>
      </c>
      <c r="M501" s="8"/>
      <c r="N501" s="21"/>
      <c r="O501" s="8"/>
      <c r="P501" s="21"/>
      <c r="Q501" s="8"/>
      <c r="R501" s="28"/>
    </row>
  </sheetData>
  <conditionalFormatting sqref="A1:R501">
    <cfRule type="expression" dxfId="33" priority="1">
      <formula>$A1&lt;&gt;""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Dashboard</vt:lpstr>
      <vt:lpstr>Painel</vt:lpstr>
      <vt:lpstr>BASE</vt:lpstr>
      <vt:lpstr>TabelasDBase</vt:lpstr>
      <vt:lpstr>XML TESTE</vt:lpstr>
      <vt:lpstr>CADASTROS</vt:lpstr>
      <vt:lpstr>BASE (2)</vt:lpstr>
      <vt:lpstr>EMISSOR</vt:lpstr>
      <vt:lpstr>ListaEmissor</vt:lpstr>
      <vt:lpstr>ListaEmissores</vt:lpstr>
      <vt:lpstr>ListaNaturezas</vt:lpstr>
      <vt:lpstr>ListaPagamentos</vt:lpstr>
      <vt:lpstr>NATUREZA_DA_OPERAÇÃO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Reis</dc:creator>
  <cp:lastModifiedBy>Welington Junio</cp:lastModifiedBy>
  <dcterms:created xsi:type="dcterms:W3CDTF">2024-05-25T18:00:51Z</dcterms:created>
  <dcterms:modified xsi:type="dcterms:W3CDTF">2025-05-05T15:42:11Z</dcterms:modified>
</cp:coreProperties>
</file>